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xr:revisionPtr revIDLastSave="997" documentId="11_7E4E55BF84DCCEE3ED7FF6F99031F45BFA722949" xr6:coauthVersionLast="47" xr6:coauthVersionMax="47" xr10:uidLastSave="{377AC60A-551E-4F7D-AB54-C6AEC8BE23F1}"/>
  <bookViews>
    <workbookView xWindow="240" yWindow="105" windowWidth="14805" windowHeight="8010" firstSheet="3" activeTab="3" xr2:uid="{00000000-000D-0000-FFFF-FFFF00000000}"/>
  </bookViews>
  <sheets>
    <sheet name="Corte" sheetId="1" r:id="rId1"/>
    <sheet name="Corte 1" sheetId="2" r:id="rId2"/>
    <sheet name="Corte 2" sheetId="3" r:id="rId3"/>
    <sheet name="Corte 3" sheetId="4" r:id="rId4"/>
  </sheets>
  <definedNames>
    <definedName name="_xlnm._FilterDatabase" localSheetId="0" hidden="1">Corte!$A$7:$X$7</definedName>
    <definedName name="_xlnm._FilterDatabase" localSheetId="1" hidden="1">'Corte 1'!$A$7:$P$7</definedName>
    <definedName name="_xlnm._FilterDatabase" localSheetId="2" hidden="1">'Corte 2'!$A$7:$O$7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4" l="1"/>
  <c r="J10" i="4"/>
  <c r="J11" i="4"/>
  <c r="J12" i="4"/>
  <c r="J14" i="4"/>
  <c r="J16" i="4"/>
  <c r="J17" i="4"/>
  <c r="J18" i="4"/>
  <c r="J19" i="4"/>
  <c r="J20" i="4"/>
  <c r="J22" i="4"/>
  <c r="J8" i="4"/>
  <c r="N8" i="4"/>
  <c r="L8" i="4"/>
  <c r="G8" i="4"/>
  <c r="O8" i="4" s="1"/>
  <c r="P8" i="4" s="1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N9" i="4"/>
  <c r="N10" i="4"/>
  <c r="N11" i="4"/>
  <c r="N12" i="4"/>
  <c r="N13" i="4"/>
  <c r="J13" i="4" s="1"/>
  <c r="N14" i="4"/>
  <c r="N15" i="4"/>
  <c r="J15" i="4" s="1"/>
  <c r="N16" i="4"/>
  <c r="N17" i="4"/>
  <c r="N18" i="4"/>
  <c r="N19" i="4"/>
  <c r="N20" i="4"/>
  <c r="N21" i="4"/>
  <c r="J21" i="4" s="1"/>
  <c r="N22" i="4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8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L22" i="3"/>
  <c r="M22" i="3"/>
  <c r="L21" i="3"/>
  <c r="M21" i="3"/>
  <c r="L20" i="3"/>
  <c r="M20" i="3"/>
  <c r="L19" i="3"/>
  <c r="M19" i="3"/>
  <c r="L18" i="3"/>
  <c r="M18" i="3"/>
  <c r="L17" i="3"/>
  <c r="M17" i="3"/>
  <c r="L16" i="3"/>
  <c r="M16" i="3"/>
  <c r="L15" i="3"/>
  <c r="M15" i="3"/>
  <c r="L14" i="3"/>
  <c r="M14" i="3"/>
  <c r="L13" i="3"/>
  <c r="M13" i="3"/>
  <c r="L12" i="3"/>
  <c r="M12" i="3"/>
  <c r="L11" i="3"/>
  <c r="M11" i="3"/>
  <c r="L10" i="3"/>
  <c r="M10" i="3"/>
  <c r="L9" i="3"/>
  <c r="M9" i="3"/>
  <c r="L8" i="3"/>
  <c r="M8" i="3"/>
  <c r="K22" i="2"/>
  <c r="I22" i="2"/>
  <c r="Q9" i="2"/>
  <c r="Q11" i="2"/>
  <c r="Q12" i="2"/>
  <c r="Q13" i="2"/>
  <c r="Q14" i="2"/>
  <c r="Q15" i="2"/>
  <c r="Q17" i="2"/>
  <c r="Q18" i="2"/>
  <c r="Q20" i="2"/>
  <c r="Q8" i="2"/>
  <c r="M22" i="2"/>
  <c r="M21" i="2"/>
  <c r="Q21" i="2" s="1"/>
  <c r="M20" i="2"/>
  <c r="M19" i="2"/>
  <c r="Q19" i="2" s="1"/>
  <c r="M18" i="2"/>
  <c r="M17" i="2"/>
  <c r="M16" i="2"/>
  <c r="Q16" i="2" s="1"/>
  <c r="M15" i="2"/>
  <c r="M14" i="2"/>
  <c r="M13" i="2"/>
  <c r="M12" i="2"/>
  <c r="M11" i="2"/>
  <c r="M10" i="2"/>
  <c r="Q10" i="2" s="1"/>
  <c r="M9" i="2"/>
  <c r="M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8" i="2"/>
  <c r="K14" i="2"/>
  <c r="F14" i="2"/>
  <c r="N14" i="2" s="1"/>
  <c r="F22" i="2"/>
  <c r="N22" i="2" s="1"/>
  <c r="K21" i="2"/>
  <c r="F21" i="2"/>
  <c r="N21" i="2" s="1"/>
  <c r="K20" i="2"/>
  <c r="F20" i="2"/>
  <c r="N20" i="2" s="1"/>
  <c r="K19" i="2"/>
  <c r="F19" i="2"/>
  <c r="N19" i="2" s="1"/>
  <c r="K18" i="2"/>
  <c r="F18" i="2"/>
  <c r="N18" i="2" s="1"/>
  <c r="K17" i="2"/>
  <c r="F17" i="2"/>
  <c r="N17" i="2" s="1"/>
  <c r="K16" i="2"/>
  <c r="F16" i="2"/>
  <c r="N16" i="2" s="1"/>
  <c r="K15" i="2"/>
  <c r="F15" i="2"/>
  <c r="N15" i="2" s="1"/>
  <c r="K13" i="2"/>
  <c r="F13" i="2"/>
  <c r="N13" i="2" s="1"/>
  <c r="K12" i="2"/>
  <c r="F12" i="2"/>
  <c r="N12" i="2" s="1"/>
  <c r="K11" i="2"/>
  <c r="F11" i="2"/>
  <c r="N11" i="2" s="1"/>
  <c r="K10" i="2"/>
  <c r="F10" i="2"/>
  <c r="N10" i="2" s="1"/>
  <c r="K9" i="2"/>
  <c r="F9" i="2"/>
  <c r="N9" i="2" s="1"/>
  <c r="K8" i="2"/>
  <c r="F8" i="2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8" i="1"/>
  <c r="U22" i="1"/>
  <c r="O22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O8" i="1"/>
  <c r="W8" i="1" s="1"/>
  <c r="O22" i="4" l="1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Q8" i="4"/>
  <c r="Q9" i="4"/>
  <c r="P9" i="4"/>
  <c r="Q10" i="4"/>
  <c r="P10" i="4"/>
  <c r="Q11" i="4"/>
  <c r="P11" i="4"/>
  <c r="Q12" i="4"/>
  <c r="P12" i="4"/>
  <c r="Q13" i="4"/>
  <c r="P13" i="4"/>
  <c r="Q14" i="4"/>
  <c r="P14" i="4"/>
  <c r="Q15" i="4"/>
  <c r="P15" i="4"/>
  <c r="Q16" i="4"/>
  <c r="P16" i="4"/>
  <c r="Q17" i="4"/>
  <c r="P17" i="4"/>
  <c r="Q18" i="4"/>
  <c r="P18" i="4"/>
  <c r="Q19" i="4"/>
  <c r="P19" i="4"/>
  <c r="Q20" i="4"/>
  <c r="P20" i="4"/>
  <c r="Q21" i="4"/>
  <c r="P21" i="4"/>
  <c r="Q22" i="4"/>
  <c r="P22" i="4"/>
  <c r="O8" i="3"/>
  <c r="N8" i="3"/>
  <c r="O9" i="3"/>
  <c r="N9" i="3"/>
  <c r="O10" i="3"/>
  <c r="N10" i="3"/>
  <c r="O11" i="3"/>
  <c r="N11" i="3"/>
  <c r="O12" i="3"/>
  <c r="N12" i="3"/>
  <c r="O13" i="3"/>
  <c r="N13" i="3"/>
  <c r="O14" i="3"/>
  <c r="N14" i="3"/>
  <c r="O15" i="3"/>
  <c r="N15" i="3"/>
  <c r="O16" i="3"/>
  <c r="N16" i="3"/>
  <c r="O17" i="3"/>
  <c r="N17" i="3"/>
  <c r="O18" i="3"/>
  <c r="N18" i="3"/>
  <c r="O19" i="3"/>
  <c r="N19" i="3"/>
  <c r="O20" i="3"/>
  <c r="N20" i="3"/>
  <c r="O21" i="3"/>
  <c r="N21" i="3"/>
  <c r="O22" i="3"/>
  <c r="N22" i="3"/>
  <c r="N8" i="2"/>
  <c r="P8" i="2"/>
  <c r="O8" i="2"/>
  <c r="P9" i="2"/>
  <c r="O9" i="2"/>
  <c r="P10" i="2"/>
  <c r="O10" i="2"/>
  <c r="P11" i="2"/>
  <c r="O11" i="2"/>
  <c r="P12" i="2"/>
  <c r="O12" i="2"/>
  <c r="P13" i="2"/>
  <c r="O13" i="2"/>
  <c r="P15" i="2"/>
  <c r="O15" i="2"/>
  <c r="P16" i="2"/>
  <c r="O16" i="2"/>
  <c r="P17" i="2"/>
  <c r="O17" i="2"/>
  <c r="P18" i="2"/>
  <c r="O18" i="2"/>
  <c r="P19" i="2"/>
  <c r="O19" i="2"/>
  <c r="P20" i="2"/>
  <c r="O20" i="2"/>
  <c r="P21" i="2"/>
  <c r="O21" i="2"/>
  <c r="P22" i="2"/>
  <c r="O22" i="2"/>
  <c r="Q22" i="2" s="1"/>
  <c r="P14" i="2"/>
  <c r="O14" i="2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X22" i="1" l="1"/>
  <c r="W22" i="1"/>
</calcChain>
</file>

<file path=xl/sharedStrings.xml><?xml version="1.0" encoding="utf-8"?>
<sst xmlns="http://schemas.openxmlformats.org/spreadsheetml/2006/main" count="199" uniqueCount="63">
  <si>
    <t>Asignatura</t>
  </si>
  <si>
    <t>Matemáticas Básicas</t>
  </si>
  <si>
    <t>Semestre</t>
  </si>
  <si>
    <t>2026 - 1</t>
  </si>
  <si>
    <t>Grupo</t>
  </si>
  <si>
    <t>1E</t>
  </si>
  <si>
    <t>Docente</t>
  </si>
  <si>
    <t>David Mauricio Valoyes Porras</t>
  </si>
  <si>
    <t>Datos estudiante</t>
  </si>
  <si>
    <t>Quiz</t>
  </si>
  <si>
    <t>Trabajos en clase, talleres y exposiciones</t>
  </si>
  <si>
    <t>Parcial</t>
  </si>
  <si>
    <t>Puntos extra y bonos (0,1 cada uno)</t>
  </si>
  <si>
    <t>Total bonos</t>
  </si>
  <si>
    <t>Definitiva</t>
  </si>
  <si>
    <t>Nota a sala</t>
  </si>
  <si>
    <t>Para nota aprobatoria</t>
  </si>
  <si>
    <t>No° estudiante</t>
  </si>
  <si>
    <t>Nombre estudiante</t>
  </si>
  <si>
    <t>Taller</t>
  </si>
  <si>
    <t>Clase</t>
  </si>
  <si>
    <t>Exposición</t>
  </si>
  <si>
    <t>Actividad o razón</t>
  </si>
  <si>
    <t>1028943852 </t>
  </si>
  <si>
    <t>AMARIS LERMA OSCAR ANDRÉS </t>
  </si>
  <si>
    <t>1013264286 </t>
  </si>
  <si>
    <t>CAICEDO CHAPARRO SANTIAGO </t>
  </si>
  <si>
    <t>1013267876 </t>
  </si>
  <si>
    <t>CAMELO CAMELO NICOLL TATIANA </t>
  </si>
  <si>
    <t>1014991121 </t>
  </si>
  <si>
    <t>CARRILLO MARIN JUAN SEBASTIÁN </t>
  </si>
  <si>
    <t>1022961365 </t>
  </si>
  <si>
    <t>CHINGATE BOLAÑOS SAMUEL SANTIAGO </t>
  </si>
  <si>
    <t>1033714140 </t>
  </si>
  <si>
    <t>CORTES LOPEZ MEISSNER SNEDY </t>
  </si>
  <si>
    <t>1013122283 </t>
  </si>
  <si>
    <t>GUTIERREZ SILVA NICOLLE DAYANA </t>
  </si>
  <si>
    <t>1094051548 </t>
  </si>
  <si>
    <t>LONDOÑO REYES MIGUEL SANTIAGO </t>
  </si>
  <si>
    <t>1031813370 </t>
  </si>
  <si>
    <t>PERILLA MIRANDA CARLOS ANDRES </t>
  </si>
  <si>
    <t>1034295843 </t>
  </si>
  <si>
    <t>PINEDA ESPINOSA ALEJANDRA ELIZABETH </t>
  </si>
  <si>
    <t>1095551423 </t>
  </si>
  <si>
    <t>UMAÑA BONILLA EILEEN TATIANA </t>
  </si>
  <si>
    <t>1087802193 </t>
  </si>
  <si>
    <t>VASQUEZ LEON JENIFFER TATIANA </t>
  </si>
  <si>
    <t>1072747164 </t>
  </si>
  <si>
    <t>VELASQUEZ GONZALEZ JUAN FELIPE </t>
  </si>
  <si>
    <t>1075234817 </t>
  </si>
  <si>
    <t>VERA VERA MARTIN ALBERTO </t>
  </si>
  <si>
    <t>CUELLAR PARADA JUAN FELIPE</t>
  </si>
  <si>
    <t>Nota a sala con bono</t>
  </si>
  <si>
    <t>Taller - Liz García</t>
  </si>
  <si>
    <t>Taller 1</t>
  </si>
  <si>
    <t>Bono (Día de las Matemáticas)</t>
  </si>
  <si>
    <t>Corrección</t>
  </si>
  <si>
    <t>Taller 2</t>
  </si>
  <si>
    <t>Taller 3</t>
  </si>
  <si>
    <t>Quices</t>
  </si>
  <si>
    <t>Quiz 1</t>
  </si>
  <si>
    <t>Quiz 2</t>
  </si>
  <si>
    <t>Firmas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</si>
</sst>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864A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3" fillId="0" borderId="0" xfId="0" applyFont="1"/>
    <xf numFmtId="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48"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D8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opLeftCell="H1" workbookViewId="0">
      <selection activeCell="Q28" sqref="Q28"/>
    </sheetView>
  </sheetViews>
  <sheetFormatPr defaultRowHeight="15"/>
  <cols>
    <col min="4" max="4" width="26.5703125" customWidth="1"/>
    <col min="5" max="5" width="9.42578125" customWidth="1"/>
    <col min="6" max="6" width="10.5703125" customWidth="1"/>
    <col min="10" max="10" width="10.85546875" bestFit="1" customWidth="1"/>
    <col min="16" max="20" width="16.28515625" bestFit="1" customWidth="1"/>
    <col min="21" max="21" width="16.28515625" customWidth="1"/>
    <col min="23" max="23" width="11" bestFit="1" customWidth="1"/>
    <col min="24" max="24" width="32" bestFit="1" customWidth="1"/>
  </cols>
  <sheetData>
    <row r="1" spans="1:27">
      <c r="A1" s="19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</row>
    <row r="2" spans="1:27">
      <c r="A2" s="19" t="s">
        <v>2</v>
      </c>
      <c r="B2" s="19"/>
      <c r="C2" s="20" t="s">
        <v>3</v>
      </c>
      <c r="D2" s="20"/>
      <c r="E2" s="20"/>
      <c r="F2" s="20"/>
      <c r="G2" s="20"/>
      <c r="H2" s="20"/>
      <c r="I2" s="20"/>
      <c r="J2" s="20"/>
      <c r="K2" s="20"/>
    </row>
    <row r="3" spans="1:27">
      <c r="A3" s="21" t="s">
        <v>4</v>
      </c>
      <c r="B3" s="22"/>
      <c r="C3" s="23" t="s">
        <v>5</v>
      </c>
      <c r="D3" s="24"/>
      <c r="E3" s="24"/>
      <c r="F3" s="24"/>
      <c r="G3" s="24"/>
      <c r="H3" s="24"/>
      <c r="I3" s="24"/>
      <c r="J3" s="24"/>
      <c r="K3" s="35"/>
      <c r="P3" s="13"/>
      <c r="Q3" s="13"/>
      <c r="R3" s="13"/>
      <c r="S3" s="13"/>
      <c r="T3" s="13"/>
      <c r="U3" s="13"/>
    </row>
    <row r="4" spans="1:27">
      <c r="A4" s="19" t="s">
        <v>6</v>
      </c>
      <c r="B4" s="19"/>
      <c r="C4" s="20" t="s">
        <v>7</v>
      </c>
      <c r="D4" s="20"/>
      <c r="E4" s="20"/>
      <c r="F4" s="20"/>
      <c r="G4" s="20"/>
      <c r="H4" s="20"/>
      <c r="I4" s="20"/>
      <c r="J4" s="20"/>
      <c r="K4" s="20"/>
    </row>
    <row r="6" spans="1:27">
      <c r="A6" s="25" t="s">
        <v>8</v>
      </c>
      <c r="B6" s="25"/>
      <c r="C6" s="25"/>
      <c r="D6" s="25"/>
      <c r="E6" s="2" t="s">
        <v>9</v>
      </c>
      <c r="F6" s="14">
        <v>0.1</v>
      </c>
      <c r="G6" s="25" t="s">
        <v>10</v>
      </c>
      <c r="H6" s="25"/>
      <c r="I6" s="25"/>
      <c r="J6" s="25"/>
      <c r="K6" s="25"/>
      <c r="L6" s="25"/>
      <c r="M6" s="3">
        <v>0.4</v>
      </c>
      <c r="N6" s="2" t="s">
        <v>11</v>
      </c>
      <c r="O6" s="4">
        <v>0.5</v>
      </c>
      <c r="P6" s="32" t="s">
        <v>12</v>
      </c>
      <c r="Q6" s="33"/>
      <c r="R6" s="33"/>
      <c r="S6" s="33"/>
      <c r="T6" s="34"/>
      <c r="U6" s="12" t="s">
        <v>13</v>
      </c>
      <c r="V6" s="7" t="s">
        <v>14</v>
      </c>
      <c r="W6" s="7" t="s">
        <v>15</v>
      </c>
      <c r="X6" s="2" t="s">
        <v>16</v>
      </c>
    </row>
    <row r="7" spans="1:27">
      <c r="A7" s="26" t="s">
        <v>17</v>
      </c>
      <c r="B7" s="26"/>
      <c r="C7" s="26" t="s">
        <v>18</v>
      </c>
      <c r="D7" s="26"/>
      <c r="E7" s="9"/>
      <c r="F7" s="9"/>
      <c r="G7" s="9" t="s">
        <v>19</v>
      </c>
      <c r="H7" s="9" t="s">
        <v>19</v>
      </c>
      <c r="I7" s="9" t="s">
        <v>20</v>
      </c>
      <c r="J7" s="9" t="s">
        <v>21</v>
      </c>
      <c r="K7" s="9" t="s">
        <v>19</v>
      </c>
      <c r="L7" s="9" t="s">
        <v>19</v>
      </c>
      <c r="M7" s="10"/>
      <c r="N7" s="9"/>
      <c r="O7" s="11"/>
      <c r="P7" s="11" t="s">
        <v>22</v>
      </c>
      <c r="Q7" s="11" t="s">
        <v>22</v>
      </c>
      <c r="R7" s="11" t="s">
        <v>22</v>
      </c>
      <c r="S7" s="11" t="s">
        <v>22</v>
      </c>
      <c r="T7" s="11" t="s">
        <v>22</v>
      </c>
      <c r="U7" s="11"/>
      <c r="V7" s="11"/>
      <c r="W7" s="11"/>
      <c r="X7" s="9"/>
    </row>
    <row r="8" spans="1:27">
      <c r="A8" s="29" t="s">
        <v>23</v>
      </c>
      <c r="B8" s="30"/>
      <c r="C8" s="31" t="s">
        <v>24</v>
      </c>
      <c r="D8" s="31"/>
      <c r="E8" s="1"/>
      <c r="F8" s="1">
        <f>E8*0.1</f>
        <v>0</v>
      </c>
      <c r="G8" s="1"/>
      <c r="H8" s="1"/>
      <c r="I8" s="1"/>
      <c r="J8" s="1"/>
      <c r="K8" s="1"/>
      <c r="L8" s="1"/>
      <c r="M8" s="5" t="e">
        <f>AVERAGE(G8:L8)*0.4+U8</f>
        <v>#DIV/0!</v>
      </c>
      <c r="N8" s="1"/>
      <c r="O8" s="6">
        <f t="shared" ref="O8:O21" si="0">N8*0.5</f>
        <v>0</v>
      </c>
      <c r="P8" s="6"/>
      <c r="Q8" s="6"/>
      <c r="R8" s="6"/>
      <c r="S8" s="6"/>
      <c r="T8" s="6"/>
      <c r="U8" s="6">
        <f>(SUM(P8:T8)/5)*0.3</f>
        <v>0</v>
      </c>
      <c r="V8" s="6" t="e">
        <f>F8+M8+O8</f>
        <v>#DIV/0!</v>
      </c>
      <c r="W8" s="6" t="e">
        <f>INT(V8*10)/10+IF(MOD(V8*10,1)&gt;=0.5,0.1,0)</f>
        <v>#DIV/0!</v>
      </c>
      <c r="X8" s="1" t="e">
        <f t="shared" ref="X8:X21" si="1">IF(V8&lt;3,3-V8,"No aplica")</f>
        <v>#DIV/0!</v>
      </c>
    </row>
    <row r="9" spans="1:27">
      <c r="A9" s="29" t="s">
        <v>25</v>
      </c>
      <c r="B9" s="30"/>
      <c r="C9" s="31" t="s">
        <v>26</v>
      </c>
      <c r="D9" s="31"/>
      <c r="E9" s="1"/>
      <c r="F9" s="1">
        <f t="shared" ref="F9:F22" si="2">E9*0.1</f>
        <v>0</v>
      </c>
      <c r="G9" s="1"/>
      <c r="H9" s="1"/>
      <c r="I9" s="1"/>
      <c r="J9" s="1"/>
      <c r="K9" s="1"/>
      <c r="L9" s="1"/>
      <c r="M9" s="5" t="e">
        <f t="shared" ref="M9:M22" si="3">AVERAGE(G9:L9)*0.4+U9</f>
        <v>#DIV/0!</v>
      </c>
      <c r="N9" s="1"/>
      <c r="O9" s="6">
        <f t="shared" si="0"/>
        <v>0</v>
      </c>
      <c r="P9" s="6"/>
      <c r="Q9" s="6"/>
      <c r="R9" s="6"/>
      <c r="S9" s="6"/>
      <c r="T9" s="6"/>
      <c r="U9" s="6">
        <f t="shared" ref="U9:U21" si="4">(SUM(P9:T9)/5)*0.5</f>
        <v>0</v>
      </c>
      <c r="V9" s="6" t="e">
        <f t="shared" ref="V9:V22" si="5">F9+M9+O9</f>
        <v>#DIV/0!</v>
      </c>
      <c r="W9" s="6" t="e">
        <f t="shared" ref="W9:W21" si="6">INT(V9*10)/10+IF(MOD(V9*10,1)&gt;=0.5,0.1,0)</f>
        <v>#DIV/0!</v>
      </c>
      <c r="X9" s="1" t="e">
        <f t="shared" si="1"/>
        <v>#DIV/0!</v>
      </c>
    </row>
    <row r="10" spans="1:27">
      <c r="A10" s="29" t="s">
        <v>27</v>
      </c>
      <c r="B10" s="30"/>
      <c r="C10" s="31" t="s">
        <v>28</v>
      </c>
      <c r="D10" s="31"/>
      <c r="E10" s="1"/>
      <c r="F10" s="1">
        <f t="shared" si="2"/>
        <v>0</v>
      </c>
      <c r="G10" s="1"/>
      <c r="H10" s="1"/>
      <c r="I10" s="1"/>
      <c r="J10" s="1"/>
      <c r="K10" s="1"/>
      <c r="L10" s="1"/>
      <c r="M10" s="5" t="e">
        <f t="shared" si="3"/>
        <v>#DIV/0!</v>
      </c>
      <c r="N10" s="1"/>
      <c r="O10" s="6">
        <f t="shared" si="0"/>
        <v>0</v>
      </c>
      <c r="P10" s="6"/>
      <c r="Q10" s="6"/>
      <c r="R10" s="6"/>
      <c r="S10" s="6"/>
      <c r="T10" s="6"/>
      <c r="U10" s="6">
        <f t="shared" si="4"/>
        <v>0</v>
      </c>
      <c r="V10" s="6" t="e">
        <f t="shared" si="5"/>
        <v>#DIV/0!</v>
      </c>
      <c r="W10" s="6" t="e">
        <f t="shared" si="6"/>
        <v>#DIV/0!</v>
      </c>
      <c r="X10" s="1" t="e">
        <f t="shared" si="1"/>
        <v>#DIV/0!</v>
      </c>
    </row>
    <row r="11" spans="1:27">
      <c r="A11" s="29" t="s">
        <v>29</v>
      </c>
      <c r="B11" s="30"/>
      <c r="C11" s="31" t="s">
        <v>30</v>
      </c>
      <c r="D11" s="31"/>
      <c r="E11" s="1"/>
      <c r="F11" s="1">
        <f t="shared" si="2"/>
        <v>0</v>
      </c>
      <c r="G11" s="1"/>
      <c r="H11" s="1"/>
      <c r="I11" s="1"/>
      <c r="J11" s="1"/>
      <c r="K11" s="1"/>
      <c r="L11" s="1"/>
      <c r="M11" s="5" t="e">
        <f t="shared" si="3"/>
        <v>#DIV/0!</v>
      </c>
      <c r="N11" s="1"/>
      <c r="O11" s="6">
        <f t="shared" si="0"/>
        <v>0</v>
      </c>
      <c r="P11" s="6"/>
      <c r="Q11" s="6"/>
      <c r="R11" s="6"/>
      <c r="S11" s="6"/>
      <c r="T11" s="6"/>
      <c r="U11" s="6">
        <f t="shared" si="4"/>
        <v>0</v>
      </c>
      <c r="V11" s="6" t="e">
        <f t="shared" si="5"/>
        <v>#DIV/0!</v>
      </c>
      <c r="W11" s="6" t="e">
        <f t="shared" si="6"/>
        <v>#DIV/0!</v>
      </c>
      <c r="X11" s="1" t="e">
        <f t="shared" si="1"/>
        <v>#DIV/0!</v>
      </c>
    </row>
    <row r="12" spans="1:27">
      <c r="A12" s="29" t="s">
        <v>31</v>
      </c>
      <c r="B12" s="30"/>
      <c r="C12" s="31" t="s">
        <v>32</v>
      </c>
      <c r="D12" s="31"/>
      <c r="E12" s="1"/>
      <c r="F12" s="1">
        <f t="shared" si="2"/>
        <v>0</v>
      </c>
      <c r="G12" s="1"/>
      <c r="H12" s="1"/>
      <c r="I12" s="1"/>
      <c r="J12" s="1"/>
      <c r="K12" s="1"/>
      <c r="L12" s="1"/>
      <c r="M12" s="5" t="e">
        <f t="shared" si="3"/>
        <v>#DIV/0!</v>
      </c>
      <c r="N12" s="1"/>
      <c r="O12" s="6">
        <f t="shared" si="0"/>
        <v>0</v>
      </c>
      <c r="P12" s="6"/>
      <c r="Q12" s="6"/>
      <c r="R12" s="6"/>
      <c r="S12" s="6"/>
      <c r="T12" s="6"/>
      <c r="U12" s="6">
        <f t="shared" si="4"/>
        <v>0</v>
      </c>
      <c r="V12" s="6" t="e">
        <f t="shared" si="5"/>
        <v>#DIV/0!</v>
      </c>
      <c r="W12" s="6" t="e">
        <f t="shared" si="6"/>
        <v>#DIV/0!</v>
      </c>
      <c r="X12" s="1" t="e">
        <f t="shared" si="1"/>
        <v>#DIV/0!</v>
      </c>
      <c r="AA12" s="8"/>
    </row>
    <row r="13" spans="1:27">
      <c r="A13" s="29" t="s">
        <v>33</v>
      </c>
      <c r="B13" s="30"/>
      <c r="C13" s="31" t="s">
        <v>34</v>
      </c>
      <c r="D13" s="31"/>
      <c r="E13" s="1"/>
      <c r="F13" s="1">
        <f t="shared" si="2"/>
        <v>0</v>
      </c>
      <c r="G13" s="1"/>
      <c r="H13" s="1"/>
      <c r="I13" s="1"/>
      <c r="J13" s="1"/>
      <c r="K13" s="1"/>
      <c r="L13" s="1"/>
      <c r="M13" s="5" t="e">
        <f t="shared" si="3"/>
        <v>#DIV/0!</v>
      </c>
      <c r="N13" s="1"/>
      <c r="O13" s="6">
        <f t="shared" si="0"/>
        <v>0</v>
      </c>
      <c r="P13" s="6"/>
      <c r="Q13" s="6"/>
      <c r="R13" s="6"/>
      <c r="S13" s="6"/>
      <c r="T13" s="6"/>
      <c r="U13" s="6">
        <f t="shared" si="4"/>
        <v>0</v>
      </c>
      <c r="V13" s="6" t="e">
        <f t="shared" si="5"/>
        <v>#DIV/0!</v>
      </c>
      <c r="W13" s="6" t="e">
        <f t="shared" si="6"/>
        <v>#DIV/0!</v>
      </c>
      <c r="X13" s="1" t="e">
        <f t="shared" si="1"/>
        <v>#DIV/0!</v>
      </c>
    </row>
    <row r="14" spans="1:27">
      <c r="A14" s="29" t="s">
        <v>35</v>
      </c>
      <c r="B14" s="30"/>
      <c r="C14" s="31" t="s">
        <v>36</v>
      </c>
      <c r="D14" s="31"/>
      <c r="E14" s="1"/>
      <c r="F14" s="1">
        <f t="shared" si="2"/>
        <v>0</v>
      </c>
      <c r="G14" s="1"/>
      <c r="H14" s="1"/>
      <c r="I14" s="1"/>
      <c r="J14" s="1"/>
      <c r="K14" s="1"/>
      <c r="L14" s="1"/>
      <c r="M14" s="5" t="e">
        <f t="shared" si="3"/>
        <v>#DIV/0!</v>
      </c>
      <c r="N14" s="1"/>
      <c r="O14" s="6">
        <f t="shared" si="0"/>
        <v>0</v>
      </c>
      <c r="P14" s="6"/>
      <c r="Q14" s="6"/>
      <c r="R14" s="6"/>
      <c r="S14" s="6"/>
      <c r="T14" s="6"/>
      <c r="U14" s="6">
        <f t="shared" si="4"/>
        <v>0</v>
      </c>
      <c r="V14" s="6" t="e">
        <f t="shared" si="5"/>
        <v>#DIV/0!</v>
      </c>
      <c r="W14" s="6" t="e">
        <f t="shared" si="6"/>
        <v>#DIV/0!</v>
      </c>
      <c r="X14" s="1" t="e">
        <f t="shared" si="1"/>
        <v>#DIV/0!</v>
      </c>
    </row>
    <row r="15" spans="1:27">
      <c r="A15" s="29" t="s">
        <v>37</v>
      </c>
      <c r="B15" s="30"/>
      <c r="C15" s="31" t="s">
        <v>38</v>
      </c>
      <c r="D15" s="31"/>
      <c r="E15" s="1"/>
      <c r="F15" s="1">
        <f t="shared" si="2"/>
        <v>0</v>
      </c>
      <c r="G15" s="1"/>
      <c r="H15" s="1"/>
      <c r="I15" s="1"/>
      <c r="J15" s="1"/>
      <c r="K15" s="1"/>
      <c r="L15" s="1"/>
      <c r="M15" s="5" t="e">
        <f t="shared" si="3"/>
        <v>#DIV/0!</v>
      </c>
      <c r="N15" s="1"/>
      <c r="O15" s="6">
        <f t="shared" si="0"/>
        <v>0</v>
      </c>
      <c r="P15" s="6"/>
      <c r="Q15" s="6"/>
      <c r="R15" s="6"/>
      <c r="S15" s="6"/>
      <c r="T15" s="6"/>
      <c r="U15" s="6">
        <f t="shared" si="4"/>
        <v>0</v>
      </c>
      <c r="V15" s="6" t="e">
        <f t="shared" si="5"/>
        <v>#DIV/0!</v>
      </c>
      <c r="W15" s="6" t="e">
        <f t="shared" si="6"/>
        <v>#DIV/0!</v>
      </c>
      <c r="X15" s="1" t="e">
        <f t="shared" si="1"/>
        <v>#DIV/0!</v>
      </c>
    </row>
    <row r="16" spans="1:27">
      <c r="A16" s="29" t="s">
        <v>39</v>
      </c>
      <c r="B16" s="30"/>
      <c r="C16" s="31" t="s">
        <v>40</v>
      </c>
      <c r="D16" s="31"/>
      <c r="E16" s="1"/>
      <c r="F16" s="1">
        <f t="shared" si="2"/>
        <v>0</v>
      </c>
      <c r="G16" s="1"/>
      <c r="H16" s="1"/>
      <c r="I16" s="1"/>
      <c r="J16" s="1"/>
      <c r="K16" s="1"/>
      <c r="L16" s="1"/>
      <c r="M16" s="5" t="e">
        <f t="shared" si="3"/>
        <v>#DIV/0!</v>
      </c>
      <c r="N16" s="1"/>
      <c r="O16" s="6">
        <f t="shared" si="0"/>
        <v>0</v>
      </c>
      <c r="P16" s="6"/>
      <c r="Q16" s="6"/>
      <c r="R16" s="6"/>
      <c r="S16" s="6"/>
      <c r="T16" s="6"/>
      <c r="U16" s="6">
        <f t="shared" si="4"/>
        <v>0</v>
      </c>
      <c r="V16" s="6" t="e">
        <f t="shared" si="5"/>
        <v>#DIV/0!</v>
      </c>
      <c r="W16" s="6" t="e">
        <f t="shared" si="6"/>
        <v>#DIV/0!</v>
      </c>
      <c r="X16" s="1" t="e">
        <f t="shared" si="1"/>
        <v>#DIV/0!</v>
      </c>
    </row>
    <row r="17" spans="1:24">
      <c r="A17" s="29" t="s">
        <v>41</v>
      </c>
      <c r="B17" s="30"/>
      <c r="C17" s="31" t="s">
        <v>42</v>
      </c>
      <c r="D17" s="31"/>
      <c r="E17" s="1"/>
      <c r="F17" s="1">
        <f t="shared" si="2"/>
        <v>0</v>
      </c>
      <c r="G17" s="1"/>
      <c r="H17" s="1"/>
      <c r="I17" s="1"/>
      <c r="J17" s="1"/>
      <c r="K17" s="1"/>
      <c r="L17" s="1"/>
      <c r="M17" s="5" t="e">
        <f t="shared" si="3"/>
        <v>#DIV/0!</v>
      </c>
      <c r="N17" s="1"/>
      <c r="O17" s="6">
        <f t="shared" si="0"/>
        <v>0</v>
      </c>
      <c r="P17" s="6"/>
      <c r="Q17" s="6"/>
      <c r="R17" s="6"/>
      <c r="S17" s="6"/>
      <c r="T17" s="6"/>
      <c r="U17" s="6">
        <f t="shared" si="4"/>
        <v>0</v>
      </c>
      <c r="V17" s="6" t="e">
        <f t="shared" si="5"/>
        <v>#DIV/0!</v>
      </c>
      <c r="W17" s="6" t="e">
        <f t="shared" si="6"/>
        <v>#DIV/0!</v>
      </c>
      <c r="X17" s="1" t="e">
        <f t="shared" si="1"/>
        <v>#DIV/0!</v>
      </c>
    </row>
    <row r="18" spans="1:24">
      <c r="A18" s="29" t="s">
        <v>43</v>
      </c>
      <c r="B18" s="30"/>
      <c r="C18" s="31" t="s">
        <v>44</v>
      </c>
      <c r="D18" s="31"/>
      <c r="E18" s="1"/>
      <c r="F18" s="1">
        <f t="shared" si="2"/>
        <v>0</v>
      </c>
      <c r="G18" s="1"/>
      <c r="H18" s="1"/>
      <c r="I18" s="1"/>
      <c r="J18" s="1"/>
      <c r="K18" s="1"/>
      <c r="L18" s="1"/>
      <c r="M18" s="5" t="e">
        <f t="shared" si="3"/>
        <v>#DIV/0!</v>
      </c>
      <c r="N18" s="1"/>
      <c r="O18" s="6">
        <f t="shared" si="0"/>
        <v>0</v>
      </c>
      <c r="P18" s="6"/>
      <c r="Q18" s="6"/>
      <c r="R18" s="6"/>
      <c r="S18" s="6"/>
      <c r="T18" s="6"/>
      <c r="U18" s="6">
        <f t="shared" si="4"/>
        <v>0</v>
      </c>
      <c r="V18" s="6" t="e">
        <f t="shared" si="5"/>
        <v>#DIV/0!</v>
      </c>
      <c r="W18" s="6" t="e">
        <f t="shared" si="6"/>
        <v>#DIV/0!</v>
      </c>
      <c r="X18" s="1" t="e">
        <f t="shared" si="1"/>
        <v>#DIV/0!</v>
      </c>
    </row>
    <row r="19" spans="1:24">
      <c r="A19" s="29" t="s">
        <v>45</v>
      </c>
      <c r="B19" s="30"/>
      <c r="C19" s="31" t="s">
        <v>46</v>
      </c>
      <c r="D19" s="31"/>
      <c r="E19" s="1"/>
      <c r="F19" s="1">
        <f t="shared" si="2"/>
        <v>0</v>
      </c>
      <c r="G19" s="1"/>
      <c r="H19" s="1"/>
      <c r="I19" s="1"/>
      <c r="J19" s="1"/>
      <c r="K19" s="1"/>
      <c r="L19" s="1"/>
      <c r="M19" s="5" t="e">
        <f t="shared" si="3"/>
        <v>#DIV/0!</v>
      </c>
      <c r="N19" s="1"/>
      <c r="O19" s="6">
        <f t="shared" si="0"/>
        <v>0</v>
      </c>
      <c r="P19" s="6"/>
      <c r="Q19" s="6"/>
      <c r="R19" s="6"/>
      <c r="S19" s="6"/>
      <c r="T19" s="6"/>
      <c r="U19" s="6">
        <f t="shared" si="4"/>
        <v>0</v>
      </c>
      <c r="V19" s="6" t="e">
        <f t="shared" si="5"/>
        <v>#DIV/0!</v>
      </c>
      <c r="W19" s="6" t="e">
        <f t="shared" si="6"/>
        <v>#DIV/0!</v>
      </c>
      <c r="X19" s="1" t="e">
        <f t="shared" si="1"/>
        <v>#DIV/0!</v>
      </c>
    </row>
    <row r="20" spans="1:24">
      <c r="A20" s="29" t="s">
        <v>47</v>
      </c>
      <c r="B20" s="30"/>
      <c r="C20" s="31" t="s">
        <v>48</v>
      </c>
      <c r="D20" s="31"/>
      <c r="E20" s="1"/>
      <c r="F20" s="1">
        <f t="shared" si="2"/>
        <v>0</v>
      </c>
      <c r="G20" s="1"/>
      <c r="H20" s="1"/>
      <c r="I20" s="1"/>
      <c r="J20" s="1"/>
      <c r="K20" s="1"/>
      <c r="L20" s="1"/>
      <c r="M20" s="5" t="e">
        <f t="shared" si="3"/>
        <v>#DIV/0!</v>
      </c>
      <c r="N20" s="1"/>
      <c r="O20" s="6">
        <f t="shared" si="0"/>
        <v>0</v>
      </c>
      <c r="P20" s="6"/>
      <c r="Q20" s="6"/>
      <c r="R20" s="6"/>
      <c r="S20" s="6"/>
      <c r="T20" s="6"/>
      <c r="U20" s="6">
        <f t="shared" si="4"/>
        <v>0</v>
      </c>
      <c r="V20" s="6" t="e">
        <f t="shared" si="5"/>
        <v>#DIV/0!</v>
      </c>
      <c r="W20" s="6" t="e">
        <f t="shared" si="6"/>
        <v>#DIV/0!</v>
      </c>
      <c r="X20" s="1" t="e">
        <f t="shared" si="1"/>
        <v>#DIV/0!</v>
      </c>
    </row>
    <row r="21" spans="1:24">
      <c r="A21" s="29" t="s">
        <v>49</v>
      </c>
      <c r="B21" s="30"/>
      <c r="C21" s="31" t="s">
        <v>50</v>
      </c>
      <c r="D21" s="31"/>
      <c r="E21" s="1"/>
      <c r="F21" s="1">
        <f t="shared" si="2"/>
        <v>0</v>
      </c>
      <c r="G21" s="1"/>
      <c r="H21" s="1"/>
      <c r="I21" s="1"/>
      <c r="J21" s="1"/>
      <c r="K21" s="1"/>
      <c r="L21" s="1"/>
      <c r="M21" s="5" t="e">
        <f t="shared" si="3"/>
        <v>#DIV/0!</v>
      </c>
      <c r="N21" s="1"/>
      <c r="O21" s="6">
        <f t="shared" si="0"/>
        <v>0</v>
      </c>
      <c r="P21" s="6"/>
      <c r="Q21" s="6"/>
      <c r="R21" s="6"/>
      <c r="S21" s="6"/>
      <c r="T21" s="6"/>
      <c r="U21" s="6">
        <f t="shared" si="4"/>
        <v>0</v>
      </c>
      <c r="V21" s="6" t="e">
        <f t="shared" si="5"/>
        <v>#DIV/0!</v>
      </c>
      <c r="W21" s="6" t="e">
        <f t="shared" si="6"/>
        <v>#DIV/0!</v>
      </c>
      <c r="X21" s="1" t="e">
        <f t="shared" si="1"/>
        <v>#DIV/0!</v>
      </c>
    </row>
    <row r="22" spans="1:24">
      <c r="A22" s="29">
        <v>1016912717</v>
      </c>
      <c r="B22" s="30"/>
      <c r="C22" s="31" t="s">
        <v>51</v>
      </c>
      <c r="D22" s="31"/>
      <c r="E22" s="1"/>
      <c r="F22" s="1">
        <f t="shared" si="2"/>
        <v>0</v>
      </c>
      <c r="G22" s="1"/>
      <c r="H22" s="1"/>
      <c r="I22" s="1"/>
      <c r="J22" s="1"/>
      <c r="K22" s="1"/>
      <c r="L22" s="1"/>
      <c r="M22" s="5" t="e">
        <f t="shared" si="3"/>
        <v>#DIV/0!</v>
      </c>
      <c r="N22" s="1"/>
      <c r="O22" s="6">
        <f t="shared" ref="O22" si="7">N22*0.5</f>
        <v>0</v>
      </c>
      <c r="P22" s="6"/>
      <c r="Q22" s="6"/>
      <c r="R22" s="6"/>
      <c r="S22" s="6"/>
      <c r="T22" s="6"/>
      <c r="U22" s="6">
        <f t="shared" ref="U22" si="8">(SUM(P22:T22)/5)*0.5</f>
        <v>0</v>
      </c>
      <c r="V22" s="6" t="e">
        <f t="shared" si="5"/>
        <v>#DIV/0!</v>
      </c>
      <c r="W22" s="6" t="e">
        <f t="shared" ref="W22" si="9">INT(V22*10)/10+IF(MOD(V22*10,1)&gt;=0.5,0.1,0)</f>
        <v>#DIV/0!</v>
      </c>
      <c r="X22" s="1" t="e">
        <f t="shared" ref="X22" si="10">IF(V22&lt;3,3-V22,"No aplica")</f>
        <v>#DIV/0!</v>
      </c>
    </row>
  </sheetData>
  <autoFilter ref="A7:X7" xr:uid="{00000000-0001-0000-0000-000000000000}">
    <filterColumn colId="0" showButton="0"/>
    <filterColumn colId="2" showButton="0"/>
  </autoFilter>
  <mergeCells count="43">
    <mergeCell ref="A22:B22"/>
    <mergeCell ref="C22:D22"/>
    <mergeCell ref="A11:B11"/>
    <mergeCell ref="A1:B1"/>
    <mergeCell ref="A2:B2"/>
    <mergeCell ref="A4:B4"/>
    <mergeCell ref="C1:K1"/>
    <mergeCell ref="C2:K2"/>
    <mergeCell ref="C4:K4"/>
    <mergeCell ref="C3:K3"/>
    <mergeCell ref="A3:B3"/>
    <mergeCell ref="A7:B7"/>
    <mergeCell ref="C7:D7"/>
    <mergeCell ref="A8:B8"/>
    <mergeCell ref="A9:B9"/>
    <mergeCell ref="A10:B10"/>
    <mergeCell ref="A12:B12"/>
    <mergeCell ref="A13:B13"/>
    <mergeCell ref="A14:B14"/>
    <mergeCell ref="A15:B15"/>
    <mergeCell ref="A16:B16"/>
    <mergeCell ref="C13:D13"/>
    <mergeCell ref="A18:B18"/>
    <mergeCell ref="A19:B19"/>
    <mergeCell ref="A20:B20"/>
    <mergeCell ref="A21:B21"/>
    <mergeCell ref="A17:B17"/>
    <mergeCell ref="P6:T6"/>
    <mergeCell ref="A6:D6"/>
    <mergeCell ref="G6:L6"/>
    <mergeCell ref="C20:D20"/>
    <mergeCell ref="C21:D21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</mergeCells>
  <conditionalFormatting sqref="G8:L21">
    <cfRule type="expression" dxfId="47" priority="14">
      <formula>G8&lt;3</formula>
    </cfRule>
  </conditionalFormatting>
  <conditionalFormatting sqref="G8:L21">
    <cfRule type="expression" dxfId="46" priority="13">
      <formula>G8&gt;=3</formula>
    </cfRule>
  </conditionalFormatting>
  <conditionalFormatting sqref="N8:N22">
    <cfRule type="expression" dxfId="45" priority="12">
      <formula>N8&lt;3</formula>
    </cfRule>
  </conditionalFormatting>
  <conditionalFormatting sqref="N8:N22">
    <cfRule type="expression" dxfId="44" priority="11">
      <formula>N8&gt;=3</formula>
    </cfRule>
  </conditionalFormatting>
  <conditionalFormatting sqref="V8:V22">
    <cfRule type="expression" dxfId="43" priority="10">
      <formula>V8&lt;3</formula>
    </cfRule>
  </conditionalFormatting>
  <conditionalFormatting sqref="V8:V22">
    <cfRule type="expression" dxfId="42" priority="9">
      <formula>V8&gt;=3</formula>
    </cfRule>
  </conditionalFormatting>
  <conditionalFormatting sqref="P8:T21">
    <cfRule type="containsBlanks" dxfId="41" priority="8">
      <formula>LEN(TRIM(P8))=0</formula>
    </cfRule>
  </conditionalFormatting>
  <conditionalFormatting sqref="P8:T21">
    <cfRule type="cellIs" dxfId="40" priority="7" operator="greaterThan">
      <formula>0</formula>
    </cfRule>
  </conditionalFormatting>
  <conditionalFormatting sqref="G22:L22">
    <cfRule type="expression" dxfId="39" priority="6">
      <formula>G22&lt;3</formula>
    </cfRule>
  </conditionalFormatting>
  <conditionalFormatting sqref="G22:L22">
    <cfRule type="expression" dxfId="38" priority="5">
      <formula>G22&gt;=3</formula>
    </cfRule>
  </conditionalFormatting>
  <conditionalFormatting sqref="P22:T22">
    <cfRule type="containsBlanks" dxfId="37" priority="4">
      <formula>LEN(TRIM(P22))=0</formula>
    </cfRule>
  </conditionalFormatting>
  <conditionalFormatting sqref="P22:T22">
    <cfRule type="cellIs" dxfId="36" priority="3" operator="greaterThan">
      <formula>0</formula>
    </cfRule>
  </conditionalFormatting>
  <conditionalFormatting sqref="E8:E22">
    <cfRule type="expression" dxfId="35" priority="2">
      <formula>E8&lt;3</formula>
    </cfRule>
  </conditionalFormatting>
  <conditionalFormatting sqref="E8:E22">
    <cfRule type="expression" dxfId="34" priority="1">
      <formula>E8&gt;=3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47EF-51ED-406F-A091-BAA11C63147F}">
  <dimension ref="A1:Q22"/>
  <sheetViews>
    <sheetView workbookViewId="0">
      <pane xSplit="4" topLeftCell="E1" activePane="topRight" state="frozen"/>
      <selection pane="topRight" activeCell="I28" sqref="I28"/>
    </sheetView>
  </sheetViews>
  <sheetFormatPr defaultRowHeight="15"/>
  <cols>
    <col min="3" max="4" width="18.5703125" customWidth="1"/>
    <col min="7" max="7" width="18.42578125" bestFit="1" customWidth="1"/>
    <col min="9" max="9" width="10.28515625" customWidth="1"/>
    <col min="11" max="11" width="10.5703125" customWidth="1"/>
    <col min="12" max="12" width="30.7109375" bestFit="1" customWidth="1"/>
    <col min="13" max="13" width="11.42578125" bestFit="1" customWidth="1"/>
    <col min="14" max="14" width="9.7109375" bestFit="1" customWidth="1"/>
    <col min="15" max="15" width="11" bestFit="1" customWidth="1"/>
    <col min="16" max="16" width="20.5703125" bestFit="1" customWidth="1"/>
    <col min="17" max="17" width="19.7109375" bestFit="1" customWidth="1"/>
  </cols>
  <sheetData>
    <row r="1" spans="1:17">
      <c r="A1" s="19" t="s">
        <v>0</v>
      </c>
      <c r="B1" s="19"/>
      <c r="C1" s="20" t="s">
        <v>1</v>
      </c>
      <c r="D1" s="20"/>
      <c r="E1" s="20"/>
      <c r="F1" s="20"/>
      <c r="G1" s="20"/>
      <c r="H1" s="20"/>
    </row>
    <row r="2" spans="1:17">
      <c r="A2" s="19" t="s">
        <v>2</v>
      </c>
      <c r="B2" s="19"/>
      <c r="C2" s="36" t="s">
        <v>3</v>
      </c>
      <c r="D2" s="36"/>
      <c r="E2" s="36"/>
      <c r="F2" s="36"/>
      <c r="G2" s="36"/>
      <c r="H2" s="36"/>
    </row>
    <row r="3" spans="1:17">
      <c r="A3" s="21" t="s">
        <v>4</v>
      </c>
      <c r="B3" s="37"/>
      <c r="C3" s="20" t="s">
        <v>5</v>
      </c>
      <c r="D3" s="20"/>
      <c r="E3" s="20"/>
      <c r="F3" s="20"/>
      <c r="G3" s="20"/>
      <c r="H3" s="20"/>
    </row>
    <row r="4" spans="1:17">
      <c r="A4" s="19" t="s">
        <v>6</v>
      </c>
      <c r="B4" s="19"/>
      <c r="C4" s="38" t="s">
        <v>7</v>
      </c>
      <c r="D4" s="38"/>
      <c r="E4" s="38"/>
      <c r="F4" s="38"/>
      <c r="G4" s="38"/>
      <c r="H4" s="38"/>
    </row>
    <row r="6" spans="1:17">
      <c r="A6" s="25" t="s">
        <v>8</v>
      </c>
      <c r="B6" s="25"/>
      <c r="C6" s="25"/>
      <c r="D6" s="25"/>
      <c r="E6" s="2" t="s">
        <v>9</v>
      </c>
      <c r="F6" s="14">
        <v>0.1</v>
      </c>
      <c r="G6" s="25" t="s">
        <v>10</v>
      </c>
      <c r="H6" s="25"/>
      <c r="I6" s="3">
        <v>0.4</v>
      </c>
      <c r="J6" s="2" t="s">
        <v>11</v>
      </c>
      <c r="K6" s="4">
        <v>0.5</v>
      </c>
      <c r="L6" s="4" t="s">
        <v>12</v>
      </c>
      <c r="M6" s="4" t="s">
        <v>13</v>
      </c>
      <c r="N6" s="7" t="s">
        <v>14</v>
      </c>
      <c r="O6" s="7" t="s">
        <v>15</v>
      </c>
      <c r="P6" s="2" t="s">
        <v>16</v>
      </c>
      <c r="Q6" s="2" t="s">
        <v>52</v>
      </c>
    </row>
    <row r="7" spans="1:17">
      <c r="A7" s="26" t="s">
        <v>17</v>
      </c>
      <c r="B7" s="26"/>
      <c r="C7" s="26" t="s">
        <v>18</v>
      </c>
      <c r="D7" s="26"/>
      <c r="E7" s="9"/>
      <c r="F7" s="9"/>
      <c r="G7" s="9" t="s">
        <v>53</v>
      </c>
      <c r="H7" s="9" t="s">
        <v>54</v>
      </c>
      <c r="I7" s="10"/>
      <c r="J7" s="9"/>
      <c r="K7" s="11"/>
      <c r="L7" s="11" t="s">
        <v>55</v>
      </c>
      <c r="M7" s="11"/>
      <c r="N7" s="11"/>
      <c r="O7" s="11"/>
      <c r="P7" s="9"/>
      <c r="Q7" s="9"/>
    </row>
    <row r="8" spans="1:17">
      <c r="A8" s="29" t="s">
        <v>23</v>
      </c>
      <c r="B8" s="30"/>
      <c r="C8" s="31" t="s">
        <v>24</v>
      </c>
      <c r="D8" s="31"/>
      <c r="E8" s="1">
        <v>5</v>
      </c>
      <c r="F8" s="1">
        <f>E8*0.1</f>
        <v>0.5</v>
      </c>
      <c r="G8" s="1">
        <v>5</v>
      </c>
      <c r="H8" s="1">
        <v>4.5</v>
      </c>
      <c r="I8" s="5">
        <f>(G8*0.3+H8*0.7)*0.4</f>
        <v>1.8600000000000003</v>
      </c>
      <c r="J8" s="1">
        <v>3.4</v>
      </c>
      <c r="K8" s="6">
        <f>J8*0.5</f>
        <v>1.7</v>
      </c>
      <c r="L8" s="6"/>
      <c r="M8" s="6">
        <f>L8/10</f>
        <v>0</v>
      </c>
      <c r="N8" s="6">
        <f>F8+I8+K8</f>
        <v>4.0600000000000005</v>
      </c>
      <c r="O8" s="6">
        <f>INT(N8*10)/10+IF(MOD(N8*10,1)&gt;=0.5,0.1,0)</f>
        <v>4.0999999999999996</v>
      </c>
      <c r="P8" s="1" t="str">
        <f>IF(N8&lt;3,3-N8,"No aplica")</f>
        <v>No aplica</v>
      </c>
      <c r="Q8" s="1">
        <f>O8+M8</f>
        <v>4.0999999999999996</v>
      </c>
    </row>
    <row r="9" spans="1:17">
      <c r="A9" s="29" t="s">
        <v>25</v>
      </c>
      <c r="B9" s="30"/>
      <c r="C9" s="31" t="s">
        <v>26</v>
      </c>
      <c r="D9" s="31"/>
      <c r="E9" s="1">
        <v>5</v>
      </c>
      <c r="F9" s="1">
        <f>E9*0.1</f>
        <v>0.5</v>
      </c>
      <c r="G9" s="1">
        <v>5</v>
      </c>
      <c r="H9" s="1">
        <v>4.5</v>
      </c>
      <c r="I9" s="5">
        <f t="shared" ref="I9:I22" si="0">(G9*0.3+H9*0.7)*0.4</f>
        <v>1.8600000000000003</v>
      </c>
      <c r="J9" s="1">
        <v>2.9</v>
      </c>
      <c r="K9" s="6">
        <f>J9*0.5</f>
        <v>1.45</v>
      </c>
      <c r="L9" s="6">
        <v>1.5</v>
      </c>
      <c r="M9" s="6">
        <f>L9/10</f>
        <v>0.15</v>
      </c>
      <c r="N9" s="6">
        <f>F9+I9+K9</f>
        <v>3.8100000000000005</v>
      </c>
      <c r="O9" s="6">
        <f>INT(N9*10)/10+IF(MOD(N9*10,1)&gt;=0.5,0.1,0)</f>
        <v>3.8</v>
      </c>
      <c r="P9" s="1" t="str">
        <f>IF(N9&lt;3,3-N9,"No aplica")</f>
        <v>No aplica</v>
      </c>
      <c r="Q9" s="1">
        <f t="shared" ref="Q9:Q22" si="1">O9+M9</f>
        <v>3.9499999999999997</v>
      </c>
    </row>
    <row r="10" spans="1:17">
      <c r="A10" s="29" t="s">
        <v>27</v>
      </c>
      <c r="B10" s="30"/>
      <c r="C10" s="31" t="s">
        <v>28</v>
      </c>
      <c r="D10" s="31"/>
      <c r="E10" s="1">
        <v>3.5</v>
      </c>
      <c r="F10" s="1">
        <f>E10*0.1</f>
        <v>0.35000000000000003</v>
      </c>
      <c r="G10" s="1">
        <v>5</v>
      </c>
      <c r="H10" s="1">
        <v>4.2</v>
      </c>
      <c r="I10" s="5">
        <f t="shared" si="0"/>
        <v>1.7759999999999998</v>
      </c>
      <c r="J10" s="1">
        <v>3.25</v>
      </c>
      <c r="K10" s="6">
        <f>J10*0.5</f>
        <v>1.625</v>
      </c>
      <c r="L10" s="6"/>
      <c r="M10" s="6">
        <f t="shared" ref="M10:M22" si="2">L10/10</f>
        <v>0</v>
      </c>
      <c r="N10" s="6">
        <f>F10+I10+K10</f>
        <v>3.7509999999999999</v>
      </c>
      <c r="O10" s="6">
        <f>INT(N10*10)/10+IF(MOD(N10*10,1)&gt;=0.5,0.1,0)</f>
        <v>3.8000000000000003</v>
      </c>
      <c r="P10" s="1" t="str">
        <f>IF(N10&lt;3,3-N10,"No aplica")</f>
        <v>No aplica</v>
      </c>
      <c r="Q10" s="1">
        <f t="shared" si="1"/>
        <v>3.8000000000000003</v>
      </c>
    </row>
    <row r="11" spans="1:17">
      <c r="A11" s="29" t="s">
        <v>29</v>
      </c>
      <c r="B11" s="30"/>
      <c r="C11" s="31" t="s">
        <v>30</v>
      </c>
      <c r="D11" s="31"/>
      <c r="E11" s="1">
        <v>3.1</v>
      </c>
      <c r="F11" s="1">
        <f>E11*0.1</f>
        <v>0.31000000000000005</v>
      </c>
      <c r="G11" s="1">
        <v>5</v>
      </c>
      <c r="H11" s="1">
        <v>4.2</v>
      </c>
      <c r="I11" s="5">
        <f t="shared" si="0"/>
        <v>1.7759999999999998</v>
      </c>
      <c r="J11" s="1">
        <v>4.4000000000000004</v>
      </c>
      <c r="K11" s="6">
        <f>J11*0.5</f>
        <v>2.2000000000000002</v>
      </c>
      <c r="L11" s="6">
        <v>1.5</v>
      </c>
      <c r="M11" s="6">
        <f t="shared" si="2"/>
        <v>0.15</v>
      </c>
      <c r="N11" s="6">
        <f>F11+I11+K11</f>
        <v>4.2859999999999996</v>
      </c>
      <c r="O11" s="6">
        <f>INT(N11*10)/10+IF(MOD(N11*10,1)&gt;=0.5,0.1,0)</f>
        <v>4.3</v>
      </c>
      <c r="P11" s="1" t="str">
        <f>IF(N11&lt;3,3-N11,"No aplica")</f>
        <v>No aplica</v>
      </c>
      <c r="Q11" s="1">
        <f t="shared" si="1"/>
        <v>4.45</v>
      </c>
    </row>
    <row r="12" spans="1:17">
      <c r="A12" s="29" t="s">
        <v>31</v>
      </c>
      <c r="B12" s="30"/>
      <c r="C12" s="31" t="s">
        <v>32</v>
      </c>
      <c r="D12" s="31"/>
      <c r="E12" s="1">
        <v>3.4</v>
      </c>
      <c r="F12" s="1">
        <f>E12*0.1</f>
        <v>0.34</v>
      </c>
      <c r="G12" s="1">
        <v>5</v>
      </c>
      <c r="H12" s="1">
        <v>4.8</v>
      </c>
      <c r="I12" s="5">
        <f t="shared" si="0"/>
        <v>1.944</v>
      </c>
      <c r="J12" s="1">
        <v>3.7</v>
      </c>
      <c r="K12" s="6">
        <f>J12*0.5</f>
        <v>1.85</v>
      </c>
      <c r="L12" s="6">
        <v>1.5</v>
      </c>
      <c r="M12" s="6">
        <f t="shared" si="2"/>
        <v>0.15</v>
      </c>
      <c r="N12" s="6">
        <f>F12+I12+K12</f>
        <v>4.1340000000000003</v>
      </c>
      <c r="O12" s="6">
        <f>INT(N12*10)/10+IF(MOD(N12*10,1)&gt;=0.5,0.1,0)</f>
        <v>4.0999999999999996</v>
      </c>
      <c r="P12" s="1" t="str">
        <f>IF(N12&lt;3,3-N12,"No aplica")</f>
        <v>No aplica</v>
      </c>
      <c r="Q12" s="1">
        <f t="shared" si="1"/>
        <v>4.25</v>
      </c>
    </row>
    <row r="13" spans="1:17">
      <c r="A13" s="29" t="s">
        <v>33</v>
      </c>
      <c r="B13" s="30"/>
      <c r="C13" s="31" t="s">
        <v>34</v>
      </c>
      <c r="D13" s="31"/>
      <c r="E13" s="1">
        <v>3.5</v>
      </c>
      <c r="F13" s="1">
        <f>E13*0.1</f>
        <v>0.35000000000000003</v>
      </c>
      <c r="G13" s="1">
        <v>5</v>
      </c>
      <c r="H13" s="1">
        <v>4.4000000000000004</v>
      </c>
      <c r="I13" s="5">
        <f t="shared" si="0"/>
        <v>1.8320000000000001</v>
      </c>
      <c r="J13" s="1">
        <v>3.98</v>
      </c>
      <c r="K13" s="6">
        <f>J13*0.5</f>
        <v>1.99</v>
      </c>
      <c r="L13" s="6">
        <v>1.5</v>
      </c>
      <c r="M13" s="6">
        <f t="shared" si="2"/>
        <v>0.15</v>
      </c>
      <c r="N13" s="6">
        <f>F13+I13+K13</f>
        <v>4.1719999999999997</v>
      </c>
      <c r="O13" s="6">
        <f>INT(N13*10)/10+IF(MOD(N13*10,1)&gt;=0.5,0.1,0)</f>
        <v>4.1999999999999993</v>
      </c>
      <c r="P13" s="1" t="str">
        <f>IF(N13&lt;3,3-N13,"No aplica")</f>
        <v>No aplica</v>
      </c>
      <c r="Q13" s="1">
        <f t="shared" si="1"/>
        <v>4.3499999999999996</v>
      </c>
    </row>
    <row r="14" spans="1:17">
      <c r="A14" s="29">
        <v>1016912717</v>
      </c>
      <c r="B14" s="30"/>
      <c r="C14" s="31" t="s">
        <v>51</v>
      </c>
      <c r="D14" s="31"/>
      <c r="E14" s="1">
        <v>2.8</v>
      </c>
      <c r="F14" s="1">
        <f>E14*0.1</f>
        <v>0.27999999999999997</v>
      </c>
      <c r="G14" s="1">
        <v>5</v>
      </c>
      <c r="H14" s="1">
        <v>5</v>
      </c>
      <c r="I14" s="5">
        <f t="shared" si="0"/>
        <v>2</v>
      </c>
      <c r="J14" s="1">
        <v>4.7549999999999999</v>
      </c>
      <c r="K14" s="6">
        <f>J14*0.5</f>
        <v>2.3774999999999999</v>
      </c>
      <c r="L14" s="6">
        <v>1.5</v>
      </c>
      <c r="M14" s="6">
        <f t="shared" si="2"/>
        <v>0.15</v>
      </c>
      <c r="N14" s="6">
        <f>F14+I14+K14</f>
        <v>4.6574999999999998</v>
      </c>
      <c r="O14" s="6">
        <f>INT(N14*10)/10+IF(MOD(N14*10,1)&gt;=0.5,0.1,0)</f>
        <v>4.6999999999999993</v>
      </c>
      <c r="P14" s="1" t="str">
        <f>IF(N14&lt;3,3-N14,"No aplica")</f>
        <v>No aplica</v>
      </c>
      <c r="Q14" s="1">
        <f t="shared" si="1"/>
        <v>4.8499999999999996</v>
      </c>
    </row>
    <row r="15" spans="1:17">
      <c r="A15" s="29" t="s">
        <v>35</v>
      </c>
      <c r="B15" s="30"/>
      <c r="C15" s="31" t="s">
        <v>36</v>
      </c>
      <c r="D15" s="31"/>
      <c r="E15" s="1">
        <v>3.7</v>
      </c>
      <c r="F15" s="1">
        <f>E15*0.1</f>
        <v>0.37000000000000005</v>
      </c>
      <c r="G15" s="1">
        <v>5</v>
      </c>
      <c r="H15" s="1">
        <v>4.4000000000000004</v>
      </c>
      <c r="I15" s="5">
        <f t="shared" si="0"/>
        <v>1.8320000000000001</v>
      </c>
      <c r="J15" s="1">
        <v>3.65</v>
      </c>
      <c r="K15" s="6">
        <f>J15*0.5</f>
        <v>1.825</v>
      </c>
      <c r="L15" s="6">
        <v>1.5</v>
      </c>
      <c r="M15" s="6">
        <f t="shared" si="2"/>
        <v>0.15</v>
      </c>
      <c r="N15" s="6">
        <f>F15+I15+K15</f>
        <v>4.0270000000000001</v>
      </c>
      <c r="O15" s="6">
        <f>INT(N15*10)/10+IF(MOD(N15*10,1)&gt;=0.5,0.1,0)</f>
        <v>4</v>
      </c>
      <c r="P15" s="1" t="str">
        <f>IF(N15&lt;3,3-N15,"No aplica")</f>
        <v>No aplica</v>
      </c>
      <c r="Q15" s="1">
        <f t="shared" si="1"/>
        <v>4.1500000000000004</v>
      </c>
    </row>
    <row r="16" spans="1:17">
      <c r="A16" s="29" t="s">
        <v>37</v>
      </c>
      <c r="B16" s="30"/>
      <c r="C16" s="31" t="s">
        <v>38</v>
      </c>
      <c r="D16" s="31"/>
      <c r="E16" s="1">
        <v>2</v>
      </c>
      <c r="F16" s="1">
        <f>E16*0.1</f>
        <v>0.2</v>
      </c>
      <c r="G16" s="1">
        <v>5</v>
      </c>
      <c r="H16" s="1">
        <v>4</v>
      </c>
      <c r="I16" s="5">
        <f t="shared" si="0"/>
        <v>1.72</v>
      </c>
      <c r="J16" s="1">
        <v>2.2999999999999998</v>
      </c>
      <c r="K16" s="6">
        <f>J16*0.5</f>
        <v>1.1499999999999999</v>
      </c>
      <c r="L16" s="6">
        <v>2.5</v>
      </c>
      <c r="M16" s="6">
        <f t="shared" si="2"/>
        <v>0.25</v>
      </c>
      <c r="N16" s="6">
        <f>F16+I16+K16</f>
        <v>3.07</v>
      </c>
      <c r="O16" s="6">
        <f>INT(N16*10)/10+IF(MOD(N16*10,1)&gt;=0.5,0.1,0)</f>
        <v>3.1</v>
      </c>
      <c r="P16" s="1" t="str">
        <f>IF(N16&lt;3,3-N16,"No aplica")</f>
        <v>No aplica</v>
      </c>
      <c r="Q16" s="1">
        <f t="shared" si="1"/>
        <v>3.35</v>
      </c>
    </row>
    <row r="17" spans="1:17">
      <c r="A17" s="29" t="s">
        <v>39</v>
      </c>
      <c r="B17" s="30"/>
      <c r="C17" s="31" t="s">
        <v>40</v>
      </c>
      <c r="D17" s="31"/>
      <c r="E17" s="1">
        <v>3.4</v>
      </c>
      <c r="F17" s="1">
        <f>E17*0.1</f>
        <v>0.34</v>
      </c>
      <c r="G17" s="1">
        <v>5</v>
      </c>
      <c r="H17" s="1">
        <v>4.8</v>
      </c>
      <c r="I17" s="5">
        <f t="shared" si="0"/>
        <v>1.944</v>
      </c>
      <c r="J17" s="1">
        <v>4.8499999999999996</v>
      </c>
      <c r="K17" s="6">
        <f>J17*0.5</f>
        <v>2.4249999999999998</v>
      </c>
      <c r="L17" s="6">
        <v>1.5</v>
      </c>
      <c r="M17" s="6">
        <f t="shared" si="2"/>
        <v>0.15</v>
      </c>
      <c r="N17" s="6">
        <f>F17+I17+K17</f>
        <v>4.7089999999999996</v>
      </c>
      <c r="O17" s="6">
        <f>INT(N17*10)/10+IF(MOD(N17*10,1)&gt;=0.5,0.1,0)</f>
        <v>4.7</v>
      </c>
      <c r="P17" s="1" t="str">
        <f>IF(N17&lt;3,3-N17,"No aplica")</f>
        <v>No aplica</v>
      </c>
      <c r="Q17" s="1">
        <f t="shared" si="1"/>
        <v>4.8500000000000005</v>
      </c>
    </row>
    <row r="18" spans="1:17">
      <c r="A18" s="29" t="s">
        <v>41</v>
      </c>
      <c r="B18" s="30"/>
      <c r="C18" s="31" t="s">
        <v>42</v>
      </c>
      <c r="D18" s="31"/>
      <c r="E18" s="1">
        <v>3.2</v>
      </c>
      <c r="F18" s="1">
        <f>E18*0.1</f>
        <v>0.32000000000000006</v>
      </c>
      <c r="G18" s="1">
        <v>5</v>
      </c>
      <c r="H18" s="1">
        <v>4.5</v>
      </c>
      <c r="I18" s="5">
        <f t="shared" si="0"/>
        <v>1.8600000000000003</v>
      </c>
      <c r="J18" s="1">
        <v>4.5999999999999996</v>
      </c>
      <c r="K18" s="6">
        <f>J18*0.5</f>
        <v>2.2999999999999998</v>
      </c>
      <c r="L18" s="6">
        <v>1.5</v>
      </c>
      <c r="M18" s="6">
        <f t="shared" si="2"/>
        <v>0.15</v>
      </c>
      <c r="N18" s="6">
        <f>F18+I18+K18</f>
        <v>4.4800000000000004</v>
      </c>
      <c r="O18" s="6">
        <f>INT(N18*10)/10+IF(MOD(N18*10,1)&gt;=0.5,0.1,0)</f>
        <v>4.5</v>
      </c>
      <c r="P18" s="1" t="str">
        <f>IF(N18&lt;3,3-N18,"No aplica")</f>
        <v>No aplica</v>
      </c>
      <c r="Q18" s="1">
        <f t="shared" si="1"/>
        <v>4.6500000000000004</v>
      </c>
    </row>
    <row r="19" spans="1:17">
      <c r="A19" s="29" t="s">
        <v>43</v>
      </c>
      <c r="B19" s="30"/>
      <c r="C19" s="31" t="s">
        <v>44</v>
      </c>
      <c r="D19" s="31"/>
      <c r="E19" s="1">
        <v>1.8</v>
      </c>
      <c r="F19" s="1">
        <f>E19*0.1</f>
        <v>0.18000000000000002</v>
      </c>
      <c r="G19" s="1">
        <v>5</v>
      </c>
      <c r="H19" s="1">
        <v>4.8</v>
      </c>
      <c r="I19" s="5">
        <f t="shared" si="0"/>
        <v>1.944</v>
      </c>
      <c r="J19" s="1">
        <v>2.4500000000000002</v>
      </c>
      <c r="K19" s="6">
        <f>J19*0.5</f>
        <v>1.2250000000000001</v>
      </c>
      <c r="L19" s="6"/>
      <c r="M19" s="6">
        <f t="shared" si="2"/>
        <v>0</v>
      </c>
      <c r="N19" s="6">
        <f>F19+I19+K19</f>
        <v>3.3490000000000002</v>
      </c>
      <c r="O19" s="6">
        <f>INT(N19*10)/10+IF(MOD(N19*10,1)&gt;=0.5,0.1,0)</f>
        <v>3.3</v>
      </c>
      <c r="P19" s="1" t="str">
        <f>IF(N19&lt;3,3-N19,"No aplica")</f>
        <v>No aplica</v>
      </c>
      <c r="Q19" s="1">
        <f t="shared" si="1"/>
        <v>3.3</v>
      </c>
    </row>
    <row r="20" spans="1:17">
      <c r="A20" s="29" t="s">
        <v>45</v>
      </c>
      <c r="B20" s="30"/>
      <c r="C20" s="31" t="s">
        <v>46</v>
      </c>
      <c r="D20" s="31"/>
      <c r="E20" s="1">
        <v>2.6</v>
      </c>
      <c r="F20" s="1">
        <f>E20*0.1</f>
        <v>0.26</v>
      </c>
      <c r="G20" s="1">
        <v>5</v>
      </c>
      <c r="H20" s="1">
        <v>5</v>
      </c>
      <c r="I20" s="5">
        <f t="shared" si="0"/>
        <v>2</v>
      </c>
      <c r="J20" s="1">
        <v>3.85</v>
      </c>
      <c r="K20" s="6">
        <f>J20*0.5</f>
        <v>1.925</v>
      </c>
      <c r="L20" s="6">
        <v>1.5</v>
      </c>
      <c r="M20" s="6">
        <f t="shared" si="2"/>
        <v>0.15</v>
      </c>
      <c r="N20" s="6">
        <f>F20+I20+K20</f>
        <v>4.1849999999999996</v>
      </c>
      <c r="O20" s="6">
        <f>INT(N20*10)/10+IF(MOD(N20*10,1)&gt;=0.5,0.1,0)</f>
        <v>4.1999999999999993</v>
      </c>
      <c r="P20" s="1" t="str">
        <f>IF(N20&lt;3,3-N20,"No aplica")</f>
        <v>No aplica</v>
      </c>
      <c r="Q20" s="1">
        <f t="shared" si="1"/>
        <v>4.3499999999999996</v>
      </c>
    </row>
    <row r="21" spans="1:17">
      <c r="A21" s="29" t="s">
        <v>47</v>
      </c>
      <c r="B21" s="30"/>
      <c r="C21" s="31" t="s">
        <v>48</v>
      </c>
      <c r="D21" s="31"/>
      <c r="E21" s="1">
        <v>3.9</v>
      </c>
      <c r="F21" s="1">
        <f>E21*0.1</f>
        <v>0.39</v>
      </c>
      <c r="G21" s="1">
        <v>5</v>
      </c>
      <c r="H21" s="1">
        <v>4.8</v>
      </c>
      <c r="I21" s="5">
        <f t="shared" si="0"/>
        <v>1.944</v>
      </c>
      <c r="J21" s="1">
        <v>3</v>
      </c>
      <c r="K21" s="6">
        <f>J21*0.5</f>
        <v>1.5</v>
      </c>
      <c r="L21" s="6"/>
      <c r="M21" s="6">
        <f t="shared" si="2"/>
        <v>0</v>
      </c>
      <c r="N21" s="6">
        <f>F21+I21+K21</f>
        <v>3.8340000000000001</v>
      </c>
      <c r="O21" s="6">
        <f>INT(N21*10)/10+IF(MOD(N21*10,1)&gt;=0.5,0.1,0)</f>
        <v>3.8</v>
      </c>
      <c r="P21" s="1" t="str">
        <f>IF(N21&lt;3,3-N21,"No aplica")</f>
        <v>No aplica</v>
      </c>
      <c r="Q21" s="1">
        <f t="shared" si="1"/>
        <v>3.8</v>
      </c>
    </row>
    <row r="22" spans="1:17">
      <c r="A22" s="29" t="s">
        <v>49</v>
      </c>
      <c r="B22" s="30"/>
      <c r="C22" s="31" t="s">
        <v>50</v>
      </c>
      <c r="D22" s="31"/>
      <c r="E22" s="1">
        <v>2.5</v>
      </c>
      <c r="F22" s="1">
        <f>E22*0.1</f>
        <v>0.25</v>
      </c>
      <c r="G22" s="1">
        <v>5</v>
      </c>
      <c r="H22" s="1">
        <v>4.2</v>
      </c>
      <c r="I22" s="5">
        <f>(G22*0.3+H22*0.7)*0.4</f>
        <v>1.7759999999999998</v>
      </c>
      <c r="J22" s="1">
        <v>4.3499999999999996</v>
      </c>
      <c r="K22" s="6">
        <f>J22*0.5</f>
        <v>2.1749999999999998</v>
      </c>
      <c r="L22" s="6"/>
      <c r="M22" s="6">
        <f t="shared" si="2"/>
        <v>0</v>
      </c>
      <c r="N22" s="6">
        <f>F22+I22+K22</f>
        <v>4.2009999999999996</v>
      </c>
      <c r="O22" s="6">
        <f>INT(N22*10)/10+IF(MOD(N22*10,1)&gt;=0.5,0.1,0)</f>
        <v>4.2</v>
      </c>
      <c r="P22" s="1" t="str">
        <f>IF(N22&lt;3,3-N22,"No aplica")</f>
        <v>No aplica</v>
      </c>
      <c r="Q22" s="1">
        <f t="shared" si="1"/>
        <v>4.2</v>
      </c>
    </row>
  </sheetData>
  <autoFilter ref="A7:P7" xr:uid="{865D47EF-51ED-406F-A091-BAA11C63147F}">
    <filterColumn colId="0" showButton="0"/>
    <filterColumn colId="2" showButton="0"/>
    <sortState xmlns:xlrd2="http://schemas.microsoft.com/office/spreadsheetml/2017/richdata2" ref="A8:P22">
      <sortCondition ref="C7"/>
    </sortState>
  </autoFilter>
  <mergeCells count="42"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7:B7"/>
    <mergeCell ref="C7:D7"/>
    <mergeCell ref="A1:B1"/>
    <mergeCell ref="C1:H1"/>
    <mergeCell ref="A2:B2"/>
    <mergeCell ref="C2:H2"/>
    <mergeCell ref="A3:B3"/>
    <mergeCell ref="C3:H3"/>
    <mergeCell ref="A4:B4"/>
    <mergeCell ref="C4:H4"/>
    <mergeCell ref="A6:D6"/>
    <mergeCell ref="G6:H6"/>
  </mergeCells>
  <conditionalFormatting sqref="G8:H21">
    <cfRule type="expression" dxfId="33" priority="16">
      <formula>G8&lt;3</formula>
    </cfRule>
  </conditionalFormatting>
  <conditionalFormatting sqref="G8:H21">
    <cfRule type="expression" dxfId="32" priority="15">
      <formula>G8&gt;=3</formula>
    </cfRule>
  </conditionalFormatting>
  <conditionalFormatting sqref="J8:J22">
    <cfRule type="expression" dxfId="31" priority="14">
      <formula>J8&lt;3</formula>
    </cfRule>
  </conditionalFormatting>
  <conditionalFormatting sqref="J8:J22">
    <cfRule type="expression" dxfId="30" priority="13">
      <formula>J8&gt;=3</formula>
    </cfRule>
  </conditionalFormatting>
  <conditionalFormatting sqref="N8:N22">
    <cfRule type="expression" dxfId="29" priority="12">
      <formula>N8&lt;3</formula>
    </cfRule>
  </conditionalFormatting>
  <conditionalFormatting sqref="N8:N22">
    <cfRule type="expression" dxfId="28" priority="11">
      <formula>N8&gt;=3</formula>
    </cfRule>
  </conditionalFormatting>
  <conditionalFormatting sqref="G22:H22">
    <cfRule type="expression" dxfId="27" priority="8">
      <formula>G22&lt;3</formula>
    </cfRule>
  </conditionalFormatting>
  <conditionalFormatting sqref="G22:H22">
    <cfRule type="expression" dxfId="26" priority="7">
      <formula>G22&gt;=3</formula>
    </cfRule>
  </conditionalFormatting>
  <conditionalFormatting sqref="E8:E22">
    <cfRule type="expression" dxfId="25" priority="4">
      <formula>E8&lt;3</formula>
    </cfRule>
  </conditionalFormatting>
  <conditionalFormatting sqref="E8:E22">
    <cfRule type="expression" dxfId="24" priority="3">
      <formula>E8&gt;=3</formula>
    </cfRule>
  </conditionalFormatting>
  <conditionalFormatting sqref="L8:L22">
    <cfRule type="cellIs" dxfId="23" priority="1" operator="greaterThan">
      <formula>0</formula>
    </cfRule>
    <cfRule type="containsBlanks" dxfId="22" priority="2">
      <formula>LEN(TRIM(L8))=0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4364-85F1-4B4C-B1BB-0179859BFB61}">
  <dimension ref="A1:O22"/>
  <sheetViews>
    <sheetView workbookViewId="0">
      <pane xSplit="4" topLeftCell="E1" activePane="topRight" state="frozen"/>
      <selection pane="topRight" activeCell="C3" sqref="C3:I3"/>
    </sheetView>
  </sheetViews>
  <sheetFormatPr defaultRowHeight="15"/>
  <cols>
    <col min="3" max="3" width="20.5703125" customWidth="1"/>
    <col min="4" max="4" width="18" customWidth="1"/>
    <col min="6" max="6" width="11" bestFit="1" customWidth="1"/>
    <col min="8" max="8" width="18.140625" customWidth="1"/>
    <col min="9" max="9" width="18.28515625" customWidth="1"/>
    <col min="14" max="14" width="11" bestFit="1" customWidth="1"/>
    <col min="15" max="15" width="20.5703125" bestFit="1" customWidth="1"/>
  </cols>
  <sheetData>
    <row r="1" spans="1:15">
      <c r="A1" s="19" t="s">
        <v>0</v>
      </c>
      <c r="B1" s="19"/>
      <c r="C1" s="20" t="s">
        <v>1</v>
      </c>
      <c r="D1" s="20"/>
      <c r="E1" s="20"/>
      <c r="F1" s="20"/>
      <c r="G1" s="20"/>
      <c r="H1" s="20"/>
      <c r="I1" s="20"/>
    </row>
    <row r="2" spans="1:15">
      <c r="A2" s="19" t="s">
        <v>2</v>
      </c>
      <c r="B2" s="19"/>
      <c r="C2" s="36" t="s">
        <v>3</v>
      </c>
      <c r="D2" s="36"/>
      <c r="E2" s="36"/>
      <c r="F2" s="36"/>
      <c r="G2" s="36"/>
      <c r="H2" s="36"/>
      <c r="I2" s="36"/>
    </row>
    <row r="3" spans="1:15">
      <c r="A3" s="21" t="s">
        <v>4</v>
      </c>
      <c r="B3" s="37"/>
      <c r="C3" s="20" t="s">
        <v>5</v>
      </c>
      <c r="D3" s="20"/>
      <c r="E3" s="20"/>
      <c r="F3" s="20"/>
      <c r="G3" s="20"/>
      <c r="H3" s="20"/>
      <c r="I3" s="20"/>
    </row>
    <row r="4" spans="1:15">
      <c r="A4" s="19" t="s">
        <v>6</v>
      </c>
      <c r="B4" s="19"/>
      <c r="C4" s="38" t="s">
        <v>7</v>
      </c>
      <c r="D4" s="38"/>
      <c r="E4" s="38"/>
      <c r="F4" s="38"/>
      <c r="G4" s="38"/>
      <c r="H4" s="38"/>
      <c r="I4" s="38"/>
    </row>
    <row r="6" spans="1:15">
      <c r="A6" s="25" t="s">
        <v>8</v>
      </c>
      <c r="B6" s="25"/>
      <c r="C6" s="25"/>
      <c r="D6" s="25"/>
      <c r="E6" s="2" t="s">
        <v>9</v>
      </c>
      <c r="F6" s="2" t="s">
        <v>56</v>
      </c>
      <c r="G6" s="14">
        <v>0.1</v>
      </c>
      <c r="H6" s="25" t="s">
        <v>10</v>
      </c>
      <c r="I6" s="25"/>
      <c r="J6" s="3">
        <v>0.4</v>
      </c>
      <c r="K6" s="2" t="s">
        <v>11</v>
      </c>
      <c r="L6" s="4">
        <v>0.5</v>
      </c>
      <c r="M6" s="7" t="s">
        <v>14</v>
      </c>
      <c r="N6" s="7" t="s">
        <v>15</v>
      </c>
      <c r="O6" s="2" t="s">
        <v>16</v>
      </c>
    </row>
    <row r="7" spans="1:15">
      <c r="A7" s="26" t="s">
        <v>17</v>
      </c>
      <c r="B7" s="26"/>
      <c r="C7" s="26" t="s">
        <v>18</v>
      </c>
      <c r="D7" s="26"/>
      <c r="E7" s="9"/>
      <c r="F7" s="9"/>
      <c r="G7" s="9"/>
      <c r="H7" s="9" t="s">
        <v>57</v>
      </c>
      <c r="I7" s="9" t="s">
        <v>58</v>
      </c>
      <c r="J7" s="10"/>
      <c r="K7" s="9"/>
      <c r="L7" s="11"/>
      <c r="M7" s="11"/>
      <c r="N7" s="11"/>
      <c r="O7" s="9"/>
    </row>
    <row r="8" spans="1:15">
      <c r="A8" s="29" t="s">
        <v>23</v>
      </c>
      <c r="B8" s="30"/>
      <c r="C8" s="31" t="s">
        <v>24</v>
      </c>
      <c r="D8" s="31"/>
      <c r="E8" s="1">
        <v>3.9</v>
      </c>
      <c r="F8" s="1">
        <v>0.2</v>
      </c>
      <c r="G8" s="1">
        <f>(E8+F8)*0.1</f>
        <v>0.41</v>
      </c>
      <c r="H8" s="1">
        <v>3.8</v>
      </c>
      <c r="I8" s="1">
        <v>4.5</v>
      </c>
      <c r="J8" s="5">
        <f>AVERAGE(H8:I8)*0.4</f>
        <v>1.6600000000000001</v>
      </c>
      <c r="K8" s="1">
        <v>3.8</v>
      </c>
      <c r="L8" s="6">
        <f>K8*0.5</f>
        <v>1.9</v>
      </c>
      <c r="M8" s="6">
        <f>G8+J8+L8</f>
        <v>3.97</v>
      </c>
      <c r="N8" s="6">
        <f>INT(M8*10)/10+IF(MOD(M8*10,1)&gt;=0.5,0.1,0)</f>
        <v>4</v>
      </c>
      <c r="O8" s="1" t="str">
        <f>IF(M8&lt;3,3-M8,"No aplica")</f>
        <v>No aplica</v>
      </c>
    </row>
    <row r="9" spans="1:15">
      <c r="A9" s="29" t="s">
        <v>25</v>
      </c>
      <c r="B9" s="30"/>
      <c r="C9" s="31" t="s">
        <v>26</v>
      </c>
      <c r="D9" s="31"/>
      <c r="E9" s="1">
        <v>3.4</v>
      </c>
      <c r="F9" s="1">
        <v>0</v>
      </c>
      <c r="G9" s="1">
        <f t="shared" ref="G9:G22" si="0">(E9+F9)*0.1</f>
        <v>0.34</v>
      </c>
      <c r="H9" s="1">
        <v>3</v>
      </c>
      <c r="I9" s="1">
        <v>4.4000000000000004</v>
      </c>
      <c r="J9" s="5">
        <f>AVERAGE(H9:I9)*0.4</f>
        <v>1.4800000000000002</v>
      </c>
      <c r="K9" s="1">
        <v>2.25</v>
      </c>
      <c r="L9" s="6">
        <f>K9*0.5</f>
        <v>1.125</v>
      </c>
      <c r="M9" s="6">
        <f>G9+J9+L9</f>
        <v>2.9450000000000003</v>
      </c>
      <c r="N9" s="6">
        <f>INT(M9*10)/10+IF(MOD(M9*10,1)&gt;=0.5,0.1,0)</f>
        <v>2.9</v>
      </c>
      <c r="O9" s="1">
        <f>IF(M9&lt;3,3-M9,"No aplica")</f>
        <v>5.4999999999999716E-2</v>
      </c>
    </row>
    <row r="10" spans="1:15">
      <c r="A10" s="29" t="s">
        <v>27</v>
      </c>
      <c r="B10" s="30"/>
      <c r="C10" s="31" t="s">
        <v>28</v>
      </c>
      <c r="D10" s="31"/>
      <c r="E10" s="1">
        <v>1.3</v>
      </c>
      <c r="F10" s="1">
        <v>0.2</v>
      </c>
      <c r="G10" s="1">
        <f t="shared" si="0"/>
        <v>0.15000000000000002</v>
      </c>
      <c r="H10" s="1">
        <v>4.5</v>
      </c>
      <c r="I10" s="1">
        <v>4.8</v>
      </c>
      <c r="J10" s="5">
        <f>AVERAGE(H10:I10)*0.4</f>
        <v>1.8600000000000003</v>
      </c>
      <c r="K10" s="1">
        <v>3.5</v>
      </c>
      <c r="L10" s="6">
        <f>K10*0.5</f>
        <v>1.75</v>
      </c>
      <c r="M10" s="6">
        <f>G10+J10+L10</f>
        <v>3.7600000000000002</v>
      </c>
      <c r="N10" s="6">
        <f>INT(M10*10)/10+IF(MOD(M10*10,1)&gt;=0.5,0.1,0)</f>
        <v>3.8000000000000003</v>
      </c>
      <c r="O10" s="1" t="str">
        <f>IF(M10&lt;3,3-M10,"No aplica")</f>
        <v>No aplica</v>
      </c>
    </row>
    <row r="11" spans="1:15">
      <c r="A11" s="29" t="s">
        <v>29</v>
      </c>
      <c r="B11" s="30"/>
      <c r="C11" s="31" t="s">
        <v>30</v>
      </c>
      <c r="D11" s="31"/>
      <c r="E11" s="1">
        <v>2.6</v>
      </c>
      <c r="F11" s="1">
        <v>0</v>
      </c>
      <c r="G11" s="1">
        <f t="shared" si="0"/>
        <v>0.26</v>
      </c>
      <c r="H11" s="1">
        <v>4.5</v>
      </c>
      <c r="I11" s="1">
        <v>4.8</v>
      </c>
      <c r="J11" s="5">
        <f>AVERAGE(H11:I11)*0.4</f>
        <v>1.8600000000000003</v>
      </c>
      <c r="K11" s="1">
        <v>3.6</v>
      </c>
      <c r="L11" s="6">
        <f>K11*0.5</f>
        <v>1.8</v>
      </c>
      <c r="M11" s="6">
        <f>G11+J11+L11</f>
        <v>3.92</v>
      </c>
      <c r="N11" s="6">
        <f>INT(M11*10)/10+IF(MOD(M11*10,1)&gt;=0.5,0.1,0)</f>
        <v>3.9</v>
      </c>
      <c r="O11" s="1" t="str">
        <f>IF(M11&lt;3,3-M11,"No aplica")</f>
        <v>No aplica</v>
      </c>
    </row>
    <row r="12" spans="1:15">
      <c r="A12" s="29" t="s">
        <v>31</v>
      </c>
      <c r="B12" s="30"/>
      <c r="C12" s="31" t="s">
        <v>32</v>
      </c>
      <c r="D12" s="31"/>
      <c r="E12" s="1">
        <v>3.8</v>
      </c>
      <c r="F12" s="1">
        <v>0</v>
      </c>
      <c r="G12" s="1">
        <f t="shared" si="0"/>
        <v>0.38</v>
      </c>
      <c r="H12" s="1">
        <v>4.5</v>
      </c>
      <c r="I12" s="1">
        <v>4.8</v>
      </c>
      <c r="J12" s="5">
        <f>AVERAGE(H12:I12)*0.4</f>
        <v>1.8600000000000003</v>
      </c>
      <c r="K12" s="1">
        <v>3.6</v>
      </c>
      <c r="L12" s="6">
        <f>K12*0.5</f>
        <v>1.8</v>
      </c>
      <c r="M12" s="6">
        <f>G12+J12+L12</f>
        <v>4.04</v>
      </c>
      <c r="N12" s="6">
        <f>INT(M12*10)/10+IF(MOD(M12*10,1)&gt;=0.5,0.1,0)</f>
        <v>4</v>
      </c>
      <c r="O12" s="1" t="str">
        <f>IF(M12&lt;3,3-M12,"No aplica")</f>
        <v>No aplica</v>
      </c>
    </row>
    <row r="13" spans="1:15">
      <c r="A13" s="29" t="s">
        <v>33</v>
      </c>
      <c r="B13" s="30"/>
      <c r="C13" s="31" t="s">
        <v>34</v>
      </c>
      <c r="D13" s="31"/>
      <c r="E13" s="1">
        <v>4</v>
      </c>
      <c r="F13" s="1">
        <v>0</v>
      </c>
      <c r="G13" s="1">
        <f t="shared" si="0"/>
        <v>0.4</v>
      </c>
      <c r="H13" s="1">
        <v>4.7</v>
      </c>
      <c r="I13" s="1">
        <v>5</v>
      </c>
      <c r="J13" s="5">
        <f>AVERAGE(H13:I13)*0.4</f>
        <v>1.94</v>
      </c>
      <c r="K13" s="1">
        <v>3</v>
      </c>
      <c r="L13" s="6">
        <f>K13*0.5</f>
        <v>1.5</v>
      </c>
      <c r="M13" s="6">
        <f>G13+J13+L13</f>
        <v>3.84</v>
      </c>
      <c r="N13" s="6">
        <f>INT(M13*10)/10+IF(MOD(M13*10,1)&gt;=0.5,0.1,0)</f>
        <v>3.8</v>
      </c>
      <c r="O13" s="1" t="str">
        <f>IF(M13&lt;3,3-M13,"No aplica")</f>
        <v>No aplica</v>
      </c>
    </row>
    <row r="14" spans="1:15">
      <c r="A14" s="29">
        <v>1016912717</v>
      </c>
      <c r="B14" s="30"/>
      <c r="C14" s="31" t="s">
        <v>51</v>
      </c>
      <c r="D14" s="31"/>
      <c r="E14" s="1">
        <v>5</v>
      </c>
      <c r="F14" s="1">
        <v>0</v>
      </c>
      <c r="G14" s="1">
        <f t="shared" si="0"/>
        <v>0.5</v>
      </c>
      <c r="H14" s="1">
        <v>5</v>
      </c>
      <c r="I14" s="1">
        <v>5</v>
      </c>
      <c r="J14" s="5">
        <f>AVERAGE(H14:I14)*0.4</f>
        <v>2</v>
      </c>
      <c r="K14" s="1">
        <v>4.4000000000000004</v>
      </c>
      <c r="L14" s="6">
        <f>K14*0.5</f>
        <v>2.2000000000000002</v>
      </c>
      <c r="M14" s="6">
        <f>G14+J14+L14</f>
        <v>4.7</v>
      </c>
      <c r="N14" s="6">
        <f>INT(M14*10)/10+IF(MOD(M14*10,1)&gt;=0.5,0.1,0)</f>
        <v>4.7</v>
      </c>
      <c r="O14" s="1" t="str">
        <f>IF(M14&lt;3,3-M14,"No aplica")</f>
        <v>No aplica</v>
      </c>
    </row>
    <row r="15" spans="1:15">
      <c r="A15" s="29" t="s">
        <v>35</v>
      </c>
      <c r="B15" s="30"/>
      <c r="C15" s="31" t="s">
        <v>36</v>
      </c>
      <c r="D15" s="31"/>
      <c r="E15" s="1">
        <v>3.2</v>
      </c>
      <c r="F15" s="1">
        <v>0.2</v>
      </c>
      <c r="G15" s="1">
        <f t="shared" si="0"/>
        <v>0.34000000000000008</v>
      </c>
      <c r="H15" s="1">
        <v>4.8</v>
      </c>
      <c r="I15" s="1">
        <v>5</v>
      </c>
      <c r="J15" s="5">
        <f>AVERAGE(H15:I15)*0.4</f>
        <v>1.9600000000000002</v>
      </c>
      <c r="K15" s="1">
        <v>3.6</v>
      </c>
      <c r="L15" s="6">
        <f>K15*0.5</f>
        <v>1.8</v>
      </c>
      <c r="M15" s="6">
        <f>G15+J15+L15</f>
        <v>4.1000000000000005</v>
      </c>
      <c r="N15" s="6">
        <f>INT(M15*10)/10+IF(MOD(M15*10,1)&gt;=0.5,0.1,0)</f>
        <v>4.0999999999999996</v>
      </c>
      <c r="O15" s="1" t="str">
        <f>IF(M15&lt;3,3-M15,"No aplica")</f>
        <v>No aplica</v>
      </c>
    </row>
    <row r="16" spans="1:15">
      <c r="A16" s="29" t="s">
        <v>37</v>
      </c>
      <c r="B16" s="30"/>
      <c r="C16" s="31" t="s">
        <v>38</v>
      </c>
      <c r="D16" s="31"/>
      <c r="E16" s="1">
        <v>2.9</v>
      </c>
      <c r="F16" s="1">
        <v>0</v>
      </c>
      <c r="G16" s="1">
        <f t="shared" si="0"/>
        <v>0.28999999999999998</v>
      </c>
      <c r="H16" s="1">
        <v>4.5999999999999996</v>
      </c>
      <c r="I16" s="1">
        <v>4.8</v>
      </c>
      <c r="J16" s="5">
        <f>AVERAGE(H16:I16)*0.4</f>
        <v>1.88</v>
      </c>
      <c r="K16" s="1">
        <v>3.5</v>
      </c>
      <c r="L16" s="6">
        <f>K16*0.5</f>
        <v>1.75</v>
      </c>
      <c r="M16" s="6">
        <f>G16+J16+L16</f>
        <v>3.92</v>
      </c>
      <c r="N16" s="6">
        <f>INT(M16*10)/10+IF(MOD(M16*10,1)&gt;=0.5,0.1,0)</f>
        <v>3.9</v>
      </c>
      <c r="O16" s="1" t="str">
        <f>IF(M16&lt;3,3-M16,"No aplica")</f>
        <v>No aplica</v>
      </c>
    </row>
    <row r="17" spans="1:15">
      <c r="A17" s="29" t="s">
        <v>39</v>
      </c>
      <c r="B17" s="30"/>
      <c r="C17" s="31" t="s">
        <v>40</v>
      </c>
      <c r="D17" s="31"/>
      <c r="E17" s="1">
        <v>2.1</v>
      </c>
      <c r="F17" s="1">
        <v>0.2</v>
      </c>
      <c r="G17" s="1">
        <f t="shared" si="0"/>
        <v>0.23000000000000004</v>
      </c>
      <c r="H17" s="1">
        <v>4.5999999999999996</v>
      </c>
      <c r="I17" s="1">
        <v>4.7</v>
      </c>
      <c r="J17" s="5">
        <f>AVERAGE(H17:I17)*0.4</f>
        <v>1.8600000000000003</v>
      </c>
      <c r="K17" s="1">
        <v>3</v>
      </c>
      <c r="L17" s="6">
        <f>K17*0.5</f>
        <v>1.5</v>
      </c>
      <c r="M17" s="6">
        <f>G17+J17+L17</f>
        <v>3.5900000000000003</v>
      </c>
      <c r="N17" s="6">
        <f>INT(M17*10)/10+IF(MOD(M17*10,1)&gt;=0.5,0.1,0)</f>
        <v>3.6</v>
      </c>
      <c r="O17" s="1" t="str">
        <f>IF(M17&lt;3,3-M17,"No aplica")</f>
        <v>No aplica</v>
      </c>
    </row>
    <row r="18" spans="1:15">
      <c r="A18" s="29" t="s">
        <v>41</v>
      </c>
      <c r="B18" s="30"/>
      <c r="C18" s="31" t="s">
        <v>42</v>
      </c>
      <c r="D18" s="31"/>
      <c r="E18" s="1">
        <v>4.7</v>
      </c>
      <c r="F18" s="1">
        <v>0.2</v>
      </c>
      <c r="G18" s="1">
        <f t="shared" si="0"/>
        <v>0.49000000000000005</v>
      </c>
      <c r="H18" s="1">
        <v>5</v>
      </c>
      <c r="I18" s="1">
        <v>4.9000000000000004</v>
      </c>
      <c r="J18" s="5">
        <f>AVERAGE(H18:I18)*0.4</f>
        <v>1.9800000000000002</v>
      </c>
      <c r="K18" s="1">
        <v>3.4</v>
      </c>
      <c r="L18" s="6">
        <f>K18*0.5</f>
        <v>1.7</v>
      </c>
      <c r="M18" s="6">
        <f>G18+J18+L18</f>
        <v>4.17</v>
      </c>
      <c r="N18" s="6">
        <f>INT(M18*10)/10+IF(MOD(M18*10,1)&gt;=0.5,0.1,0)</f>
        <v>4.1999999999999993</v>
      </c>
      <c r="O18" s="1" t="str">
        <f>IF(M18&lt;3,3-M18,"No aplica")</f>
        <v>No aplica</v>
      </c>
    </row>
    <row r="19" spans="1:15">
      <c r="A19" s="29" t="s">
        <v>43</v>
      </c>
      <c r="B19" s="30"/>
      <c r="C19" s="31" t="s">
        <v>44</v>
      </c>
      <c r="D19" s="31"/>
      <c r="E19" s="1">
        <v>0.5</v>
      </c>
      <c r="F19" s="1">
        <v>0</v>
      </c>
      <c r="G19" s="1">
        <f t="shared" si="0"/>
        <v>0.05</v>
      </c>
      <c r="H19" s="1">
        <v>4.8</v>
      </c>
      <c r="I19" s="1">
        <v>5</v>
      </c>
      <c r="J19" s="5">
        <f>AVERAGE(H19:I19)*0.4</f>
        <v>1.9600000000000002</v>
      </c>
      <c r="K19" s="1">
        <v>1.2</v>
      </c>
      <c r="L19" s="6">
        <f>K19*0.5</f>
        <v>0.6</v>
      </c>
      <c r="M19" s="6">
        <f>G19+J19+L19</f>
        <v>2.6100000000000003</v>
      </c>
      <c r="N19" s="6">
        <f>INT(M19*10)/10+IF(MOD(M19*10,1)&gt;=0.5,0.1,0)</f>
        <v>2.6</v>
      </c>
      <c r="O19" s="1">
        <f>IF(M19&lt;3,3-M19,"No aplica")</f>
        <v>0.38999999999999968</v>
      </c>
    </row>
    <row r="20" spans="1:15">
      <c r="A20" s="29" t="s">
        <v>45</v>
      </c>
      <c r="B20" s="30"/>
      <c r="C20" s="31" t="s">
        <v>46</v>
      </c>
      <c r="D20" s="31"/>
      <c r="E20" s="1">
        <v>2.8</v>
      </c>
      <c r="F20" s="1">
        <v>0.2</v>
      </c>
      <c r="G20" s="1">
        <f t="shared" si="0"/>
        <v>0.30000000000000004</v>
      </c>
      <c r="H20" s="1">
        <v>5</v>
      </c>
      <c r="I20" s="1">
        <v>4.95</v>
      </c>
      <c r="J20" s="5">
        <f>AVERAGE(H20:I20)*0.4</f>
        <v>1.99</v>
      </c>
      <c r="K20" s="1">
        <v>1.8</v>
      </c>
      <c r="L20" s="6">
        <f>K20*0.5</f>
        <v>0.9</v>
      </c>
      <c r="M20" s="6">
        <f>G20+J20+L20</f>
        <v>3.19</v>
      </c>
      <c r="N20" s="6">
        <f>INT(M20*10)/10+IF(MOD(M20*10,1)&gt;=0.5,0.1,0)</f>
        <v>3.2</v>
      </c>
      <c r="O20" s="1" t="str">
        <f>IF(M20&lt;3,3-M20,"No aplica")</f>
        <v>No aplica</v>
      </c>
    </row>
    <row r="21" spans="1:15">
      <c r="A21" s="29" t="s">
        <v>47</v>
      </c>
      <c r="B21" s="30"/>
      <c r="C21" s="31" t="s">
        <v>48</v>
      </c>
      <c r="D21" s="31"/>
      <c r="E21" s="1">
        <v>3.5</v>
      </c>
      <c r="F21" s="1">
        <v>0</v>
      </c>
      <c r="G21" s="1">
        <f t="shared" si="0"/>
        <v>0.35000000000000003</v>
      </c>
      <c r="H21" s="1">
        <v>4</v>
      </c>
      <c r="I21" s="1">
        <v>4.7</v>
      </c>
      <c r="J21" s="5">
        <f>AVERAGE(H21:I21)*0.4</f>
        <v>1.74</v>
      </c>
      <c r="K21" s="1">
        <v>2.9</v>
      </c>
      <c r="L21" s="6">
        <f>K21*0.5</f>
        <v>1.45</v>
      </c>
      <c r="M21" s="6">
        <f>G21+J21+L21</f>
        <v>3.54</v>
      </c>
      <c r="N21" s="6">
        <f>INT(M21*10)/10+IF(MOD(M21*10,1)&gt;=0.5,0.1,0)</f>
        <v>3.5</v>
      </c>
      <c r="O21" s="1" t="str">
        <f>IF(M21&lt;3,3-M21,"No aplica")</f>
        <v>No aplica</v>
      </c>
    </row>
    <row r="22" spans="1:15">
      <c r="A22" s="29" t="s">
        <v>49</v>
      </c>
      <c r="B22" s="30"/>
      <c r="C22" s="31" t="s">
        <v>50</v>
      </c>
      <c r="D22" s="31"/>
      <c r="E22" s="1">
        <v>2.6</v>
      </c>
      <c r="F22" s="1">
        <v>0.2</v>
      </c>
      <c r="G22" s="1">
        <f t="shared" si="0"/>
        <v>0.28000000000000003</v>
      </c>
      <c r="H22" s="1">
        <v>5</v>
      </c>
      <c r="I22" s="1">
        <v>4</v>
      </c>
      <c r="J22" s="5">
        <f>AVERAGE(H22:I22)*0.4</f>
        <v>1.8</v>
      </c>
      <c r="K22" s="1">
        <v>3.2</v>
      </c>
      <c r="L22" s="6">
        <f>K22*0.5</f>
        <v>1.6</v>
      </c>
      <c r="M22" s="6">
        <f>G22+J22+L22</f>
        <v>3.68</v>
      </c>
      <c r="N22" s="6">
        <f>INT(M22*10)/10+IF(MOD(M22*10,1)&gt;=0.5,0.1,0)</f>
        <v>3.7</v>
      </c>
      <c r="O22" s="1" t="str">
        <f>IF(M22&lt;3,3-M22,"No aplica")</f>
        <v>No aplica</v>
      </c>
    </row>
  </sheetData>
  <autoFilter ref="A7:O7" xr:uid="{FEA64364-85F1-4B4C-B1BB-0179859BFB61}">
    <filterColumn colId="0" showButton="0"/>
    <filterColumn colId="2" showButton="0"/>
    <sortState xmlns:xlrd2="http://schemas.microsoft.com/office/spreadsheetml/2017/richdata2" ref="A8:O22">
      <sortCondition ref="C7"/>
    </sortState>
  </autoFilter>
  <mergeCells count="42">
    <mergeCell ref="A1:B1"/>
    <mergeCell ref="C1:I1"/>
    <mergeCell ref="A2:B2"/>
    <mergeCell ref="C2:I2"/>
    <mergeCell ref="A3:B3"/>
    <mergeCell ref="C3:I3"/>
    <mergeCell ref="A4:B4"/>
    <mergeCell ref="C4:I4"/>
    <mergeCell ref="A6:D6"/>
    <mergeCell ref="H6:I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</mergeCells>
  <conditionalFormatting sqref="H8:I21">
    <cfRule type="expression" dxfId="21" priority="12">
      <formula>H8&lt;3</formula>
    </cfRule>
  </conditionalFormatting>
  <conditionalFormatting sqref="H8:I21">
    <cfRule type="expression" dxfId="20" priority="11">
      <formula>H8&gt;=3</formula>
    </cfRule>
  </conditionalFormatting>
  <conditionalFormatting sqref="K8:K22">
    <cfRule type="expression" dxfId="19" priority="10">
      <formula>K8&lt;3</formula>
    </cfRule>
  </conditionalFormatting>
  <conditionalFormatting sqref="K8:K22">
    <cfRule type="expression" dxfId="18" priority="9">
      <formula>K8&gt;=3</formula>
    </cfRule>
  </conditionalFormatting>
  <conditionalFormatting sqref="M8:M22">
    <cfRule type="expression" dxfId="17" priority="8">
      <formula>M8&lt;3</formula>
    </cfRule>
  </conditionalFormatting>
  <conditionalFormatting sqref="M8:M22">
    <cfRule type="expression" dxfId="16" priority="7">
      <formula>M8&gt;=3</formula>
    </cfRule>
  </conditionalFormatting>
  <conditionalFormatting sqref="H22:I22">
    <cfRule type="expression" dxfId="15" priority="6">
      <formula>H22&lt;3</formula>
    </cfRule>
  </conditionalFormatting>
  <conditionalFormatting sqref="H22:I22">
    <cfRule type="expression" dxfId="14" priority="5">
      <formula>H22&gt;=3</formula>
    </cfRule>
  </conditionalFormatting>
  <conditionalFormatting sqref="E8:F22">
    <cfRule type="expression" dxfId="13" priority="4">
      <formula>E8&lt;3</formula>
    </cfRule>
  </conditionalFormatting>
  <conditionalFormatting sqref="E8:F22">
    <cfRule type="expression" dxfId="12" priority="3">
      <formula>E8&gt;=3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CB94-BE69-462D-965B-A4EABD13502C}">
  <dimension ref="A1:Q22"/>
  <sheetViews>
    <sheetView tabSelected="1" workbookViewId="0">
      <pane xSplit="4" topLeftCell="J2" activePane="topRight" state="frozen"/>
      <selection pane="topRight" activeCell="M27" sqref="M27"/>
    </sheetView>
  </sheetViews>
  <sheetFormatPr defaultRowHeight="15"/>
  <cols>
    <col min="3" max="3" width="19.85546875" customWidth="1"/>
    <col min="4" max="4" width="17.5703125" customWidth="1"/>
    <col min="8" max="8" width="21.5703125" customWidth="1"/>
    <col min="9" max="9" width="16.5703125" customWidth="1"/>
    <col min="13" max="13" width="33" bestFit="1" customWidth="1"/>
    <col min="14" max="14" width="11" bestFit="1" customWidth="1"/>
    <col min="15" max="15" width="9.7109375" bestFit="1" customWidth="1"/>
    <col min="16" max="16" width="11" bestFit="1" customWidth="1"/>
    <col min="17" max="17" width="20.5703125" bestFit="1" customWidth="1"/>
  </cols>
  <sheetData>
    <row r="1" spans="1:17">
      <c r="A1" s="19" t="s">
        <v>0</v>
      </c>
      <c r="B1" s="19"/>
      <c r="C1" s="20" t="s">
        <v>1</v>
      </c>
      <c r="D1" s="20"/>
      <c r="E1" s="20"/>
      <c r="F1" s="20"/>
      <c r="G1" s="20"/>
      <c r="H1" s="20"/>
      <c r="I1" s="20"/>
    </row>
    <row r="2" spans="1:17">
      <c r="A2" s="19" t="s">
        <v>2</v>
      </c>
      <c r="B2" s="19"/>
      <c r="C2" s="20" t="s">
        <v>3</v>
      </c>
      <c r="D2" s="20"/>
      <c r="E2" s="20"/>
      <c r="F2" s="20"/>
      <c r="G2" s="20"/>
      <c r="H2" s="20"/>
      <c r="I2" s="20"/>
    </row>
    <row r="3" spans="1:17">
      <c r="A3" s="21" t="s">
        <v>4</v>
      </c>
      <c r="B3" s="22"/>
      <c r="C3" s="23" t="s">
        <v>5</v>
      </c>
      <c r="D3" s="24"/>
      <c r="E3" s="24"/>
      <c r="F3" s="24"/>
      <c r="G3" s="24"/>
      <c r="H3" s="24"/>
      <c r="I3" s="24"/>
    </row>
    <row r="4" spans="1:17">
      <c r="A4" s="19" t="s">
        <v>6</v>
      </c>
      <c r="B4" s="19"/>
      <c r="C4" s="20" t="s">
        <v>7</v>
      </c>
      <c r="D4" s="20"/>
      <c r="E4" s="20"/>
      <c r="F4" s="20"/>
      <c r="G4" s="20"/>
      <c r="H4" s="20"/>
      <c r="I4" s="20"/>
    </row>
    <row r="6" spans="1:17">
      <c r="A6" s="25" t="s">
        <v>8</v>
      </c>
      <c r="B6" s="25"/>
      <c r="C6" s="25"/>
      <c r="D6" s="25"/>
      <c r="E6" s="27" t="s">
        <v>59</v>
      </c>
      <c r="F6" s="28"/>
      <c r="G6" s="14">
        <v>0.1</v>
      </c>
      <c r="H6" s="25" t="s">
        <v>10</v>
      </c>
      <c r="I6" s="25"/>
      <c r="J6" s="3">
        <v>0.4</v>
      </c>
      <c r="K6" s="2" t="s">
        <v>11</v>
      </c>
      <c r="L6" s="4">
        <v>0.5</v>
      </c>
      <c r="M6" s="4" t="s">
        <v>12</v>
      </c>
      <c r="N6" s="4" t="s">
        <v>13</v>
      </c>
      <c r="O6" s="7" t="s">
        <v>14</v>
      </c>
      <c r="P6" s="7" t="s">
        <v>15</v>
      </c>
      <c r="Q6" s="2" t="s">
        <v>16</v>
      </c>
    </row>
    <row r="7" spans="1:17">
      <c r="A7" s="26" t="s">
        <v>17</v>
      </c>
      <c r="B7" s="26"/>
      <c r="C7" s="26" t="s">
        <v>18</v>
      </c>
      <c r="D7" s="26"/>
      <c r="E7" s="9" t="s">
        <v>60</v>
      </c>
      <c r="F7" s="9" t="s">
        <v>61</v>
      </c>
      <c r="G7" s="9"/>
      <c r="H7" s="9" t="s">
        <v>54</v>
      </c>
      <c r="I7" s="9" t="s">
        <v>57</v>
      </c>
      <c r="J7" s="10"/>
      <c r="K7" s="9"/>
      <c r="L7" s="11"/>
      <c r="M7" s="11" t="s">
        <v>62</v>
      </c>
      <c r="N7" s="11"/>
      <c r="O7" s="11"/>
      <c r="P7" s="11"/>
      <c r="Q7" s="9"/>
    </row>
    <row r="8" spans="1:17">
      <c r="A8" s="29">
        <v>1028943852</v>
      </c>
      <c r="B8" s="30"/>
      <c r="C8" s="31" t="s">
        <v>24</v>
      </c>
      <c r="D8" s="31"/>
      <c r="E8" s="1">
        <v>1</v>
      </c>
      <c r="F8" s="1">
        <v>3.6</v>
      </c>
      <c r="G8" s="1">
        <f>(E8*0.35+F8*0.65)*0.1</f>
        <v>0.26900000000000007</v>
      </c>
      <c r="H8" s="1">
        <v>4.8</v>
      </c>
      <c r="I8" s="1">
        <v>4</v>
      </c>
      <c r="J8" s="5">
        <f>(AVERAGE(H8:I8)+N8)*0.4</f>
        <v>2.08</v>
      </c>
      <c r="K8" s="1">
        <v>2.15</v>
      </c>
      <c r="L8" s="6">
        <f>K8*0.5</f>
        <v>1.075</v>
      </c>
      <c r="M8" s="6">
        <v>8</v>
      </c>
      <c r="N8" s="6">
        <f>M8/10</f>
        <v>0.8</v>
      </c>
      <c r="O8" s="6">
        <f>G8+J8+L8</f>
        <v>3.4240000000000004</v>
      </c>
      <c r="P8" s="6">
        <f>INT(O8*10)/10+IF(MOD(O8*10,1)&gt;=0.5,0.1,0)</f>
        <v>3.4</v>
      </c>
      <c r="Q8" s="1" t="str">
        <f>IF(O8&lt;3,3-O8,"No aplica")</f>
        <v>No aplica</v>
      </c>
    </row>
    <row r="9" spans="1:17">
      <c r="A9" s="29">
        <v>1013264286</v>
      </c>
      <c r="B9" s="30"/>
      <c r="C9" s="31" t="s">
        <v>26</v>
      </c>
      <c r="D9" s="31"/>
      <c r="E9" s="1">
        <v>0.5</v>
      </c>
      <c r="F9" s="1">
        <v>1.6</v>
      </c>
      <c r="G9" s="1">
        <f t="shared" ref="G9:G22" si="0">(E9*0.35+F9*0.65)*0.1</f>
        <v>0.12150000000000001</v>
      </c>
      <c r="H9" s="1">
        <v>0</v>
      </c>
      <c r="I9" s="1">
        <v>0</v>
      </c>
      <c r="J9" s="5">
        <f t="shared" ref="J9:J22" si="1">(AVERAGE(H9:I9)+N9)*0.4</f>
        <v>0</v>
      </c>
      <c r="K9" s="1">
        <v>0</v>
      </c>
      <c r="L9" s="6">
        <f t="shared" ref="L9:L22" si="2">K9*0.5</f>
        <v>0</v>
      </c>
      <c r="M9" s="17"/>
      <c r="N9" s="6">
        <f t="shared" ref="N9:N22" si="3">M9/10</f>
        <v>0</v>
      </c>
      <c r="O9" s="6">
        <f>G9+J9+L9</f>
        <v>0.12150000000000001</v>
      </c>
      <c r="P9" s="6">
        <f>INT(O9*10)/10+IF(MOD(O9*10,1)&gt;=0.5,0.1,0)</f>
        <v>0.1</v>
      </c>
      <c r="Q9" s="1">
        <f>IF(O9&lt;3,3-O9,"No aplica")</f>
        <v>2.8784999999999998</v>
      </c>
    </row>
    <row r="10" spans="1:17">
      <c r="A10" s="29">
        <v>1013267876</v>
      </c>
      <c r="B10" s="30"/>
      <c r="C10" s="31" t="s">
        <v>28</v>
      </c>
      <c r="D10" s="31"/>
      <c r="E10" s="1">
        <v>0.5</v>
      </c>
      <c r="F10" s="1">
        <v>3.6</v>
      </c>
      <c r="G10" s="1">
        <f t="shared" si="0"/>
        <v>0.2515</v>
      </c>
      <c r="H10" s="1">
        <v>4.5999999999999996</v>
      </c>
      <c r="I10" s="1">
        <v>4.2</v>
      </c>
      <c r="J10" s="5">
        <f t="shared" si="1"/>
        <v>1.7600000000000002</v>
      </c>
      <c r="K10" s="1">
        <v>3</v>
      </c>
      <c r="L10" s="6">
        <f t="shared" si="2"/>
        <v>1.5</v>
      </c>
      <c r="M10" s="15"/>
      <c r="N10" s="16">
        <f t="shared" si="3"/>
        <v>0</v>
      </c>
      <c r="O10" s="6">
        <f>G10+J10+L10</f>
        <v>3.5115000000000003</v>
      </c>
      <c r="P10" s="6">
        <f>INT(O10*10)/10+IF(MOD(O10*10,1)&gt;=0.5,0.1,0)</f>
        <v>3.5</v>
      </c>
      <c r="Q10" s="1" t="str">
        <f>IF(O10&lt;3,3-O10,"No aplica")</f>
        <v>No aplica</v>
      </c>
    </row>
    <row r="11" spans="1:17">
      <c r="A11" s="29">
        <v>1014991121</v>
      </c>
      <c r="B11" s="30"/>
      <c r="C11" s="31" t="s">
        <v>30</v>
      </c>
      <c r="D11" s="31"/>
      <c r="E11" s="1">
        <v>0.5</v>
      </c>
      <c r="F11" s="1">
        <v>3.5</v>
      </c>
      <c r="G11" s="1">
        <f t="shared" si="0"/>
        <v>0.245</v>
      </c>
      <c r="H11" s="1">
        <v>3.5</v>
      </c>
      <c r="I11" s="1">
        <v>5</v>
      </c>
      <c r="J11" s="5">
        <f t="shared" si="1"/>
        <v>1.7000000000000002</v>
      </c>
      <c r="K11" s="1">
        <v>2</v>
      </c>
      <c r="L11" s="6">
        <f t="shared" si="2"/>
        <v>1</v>
      </c>
      <c r="M11" s="18"/>
      <c r="N11" s="6">
        <f t="shared" si="3"/>
        <v>0</v>
      </c>
      <c r="O11" s="6">
        <f>G11+J11+L11</f>
        <v>2.9450000000000003</v>
      </c>
      <c r="P11" s="6">
        <f>INT(O11*10)/10+IF(MOD(O11*10,1)&gt;=0.5,0.1,0)</f>
        <v>2.9</v>
      </c>
      <c r="Q11" s="1">
        <f>IF(O11&lt;3,3-O11,"No aplica")</f>
        <v>5.4999999999999716E-2</v>
      </c>
    </row>
    <row r="12" spans="1:17">
      <c r="A12" s="29">
        <v>1022961365</v>
      </c>
      <c r="B12" s="30"/>
      <c r="C12" s="31" t="s">
        <v>32</v>
      </c>
      <c r="D12" s="31"/>
      <c r="E12" s="1">
        <v>3.6</v>
      </c>
      <c r="F12" s="1">
        <v>3.5</v>
      </c>
      <c r="G12" s="1">
        <f t="shared" si="0"/>
        <v>0.35350000000000004</v>
      </c>
      <c r="H12" s="1">
        <v>4.5</v>
      </c>
      <c r="I12" s="1">
        <v>5</v>
      </c>
      <c r="J12" s="5">
        <f t="shared" si="1"/>
        <v>1.9000000000000001</v>
      </c>
      <c r="K12" s="1">
        <v>3.2</v>
      </c>
      <c r="L12" s="6">
        <f t="shared" si="2"/>
        <v>1.6</v>
      </c>
      <c r="M12" s="6"/>
      <c r="N12" s="6">
        <f t="shared" si="3"/>
        <v>0</v>
      </c>
      <c r="O12" s="6">
        <f>G12+J12+L12</f>
        <v>3.8535000000000004</v>
      </c>
      <c r="P12" s="6">
        <f>INT(O12*10)/10+IF(MOD(O12*10,1)&gt;=0.5,0.1,0)</f>
        <v>3.9</v>
      </c>
      <c r="Q12" s="1" t="str">
        <f>IF(O12&lt;3,3-O12,"No aplica")</f>
        <v>No aplica</v>
      </c>
    </row>
    <row r="13" spans="1:17">
      <c r="A13" s="29">
        <v>1033714140</v>
      </c>
      <c r="B13" s="30"/>
      <c r="C13" s="31" t="s">
        <v>34</v>
      </c>
      <c r="D13" s="31"/>
      <c r="E13" s="1">
        <v>1.5</v>
      </c>
      <c r="F13" s="1">
        <v>3</v>
      </c>
      <c r="G13" s="1">
        <f t="shared" si="0"/>
        <v>0.24750000000000003</v>
      </c>
      <c r="H13" s="1">
        <v>5</v>
      </c>
      <c r="I13" s="1">
        <v>5</v>
      </c>
      <c r="J13" s="5">
        <f t="shared" si="1"/>
        <v>2.2800000000000002</v>
      </c>
      <c r="K13" s="1">
        <v>2.4</v>
      </c>
      <c r="L13" s="6">
        <f t="shared" si="2"/>
        <v>1.2</v>
      </c>
      <c r="M13" s="6">
        <v>7</v>
      </c>
      <c r="N13" s="6">
        <f t="shared" si="3"/>
        <v>0.7</v>
      </c>
      <c r="O13" s="6">
        <f>G13+J13+L13</f>
        <v>3.7275</v>
      </c>
      <c r="P13" s="6">
        <f>INT(O13*10)/10+IF(MOD(O13*10,1)&gt;=0.5,0.1,0)</f>
        <v>3.7</v>
      </c>
      <c r="Q13" s="1" t="str">
        <f>IF(O13&lt;3,3-O13,"No aplica")</f>
        <v>No aplica</v>
      </c>
    </row>
    <row r="14" spans="1:17">
      <c r="A14" s="29">
        <v>1013122283</v>
      </c>
      <c r="B14" s="30"/>
      <c r="C14" s="31" t="s">
        <v>36</v>
      </c>
      <c r="D14" s="31"/>
      <c r="E14" s="1">
        <v>0.2</v>
      </c>
      <c r="F14" s="1">
        <v>2.5</v>
      </c>
      <c r="G14" s="1">
        <f t="shared" si="0"/>
        <v>0.16950000000000001</v>
      </c>
      <c r="H14" s="1">
        <v>4.4000000000000004</v>
      </c>
      <c r="I14" s="1">
        <v>5</v>
      </c>
      <c r="J14" s="5">
        <f t="shared" si="1"/>
        <v>1.8800000000000001</v>
      </c>
      <c r="K14" s="1">
        <v>1.1000000000000001</v>
      </c>
      <c r="L14" s="6">
        <f t="shared" si="2"/>
        <v>0.55000000000000004</v>
      </c>
      <c r="M14" s="6"/>
      <c r="N14" s="6">
        <f t="shared" si="3"/>
        <v>0</v>
      </c>
      <c r="O14" s="6">
        <f>G14+J14+L14</f>
        <v>2.5994999999999999</v>
      </c>
      <c r="P14" s="6">
        <f>INT(O14*10)/10+IF(MOD(O14*10,1)&gt;=0.5,0.1,0)</f>
        <v>2.6</v>
      </c>
      <c r="Q14" s="1">
        <f>IF(O14&lt;3,3-O14,"No aplica")</f>
        <v>0.40050000000000008</v>
      </c>
    </row>
    <row r="15" spans="1:17">
      <c r="A15" s="29">
        <v>1094051548</v>
      </c>
      <c r="B15" s="30"/>
      <c r="C15" s="31" t="s">
        <v>38</v>
      </c>
      <c r="D15" s="31"/>
      <c r="E15" s="1">
        <v>0.3</v>
      </c>
      <c r="F15" s="1">
        <v>3.2</v>
      </c>
      <c r="G15" s="1">
        <f t="shared" si="0"/>
        <v>0.21850000000000003</v>
      </c>
      <c r="H15" s="1">
        <v>3</v>
      </c>
      <c r="I15" s="1">
        <v>5</v>
      </c>
      <c r="J15" s="5">
        <f t="shared" si="1"/>
        <v>1.8399999999999999</v>
      </c>
      <c r="K15" s="1">
        <v>2.8</v>
      </c>
      <c r="L15" s="6">
        <f t="shared" si="2"/>
        <v>1.4</v>
      </c>
      <c r="M15" s="6">
        <v>6</v>
      </c>
      <c r="N15" s="6">
        <f t="shared" si="3"/>
        <v>0.6</v>
      </c>
      <c r="O15" s="6">
        <f>G15+J15+L15</f>
        <v>3.4584999999999999</v>
      </c>
      <c r="P15" s="6">
        <f>INT(O15*10)/10+IF(MOD(O15*10,1)&gt;=0.5,0.1,0)</f>
        <v>3.5</v>
      </c>
      <c r="Q15" s="1" t="str">
        <f>IF(O15&lt;3,3-O15,"No aplica")</f>
        <v>No aplica</v>
      </c>
    </row>
    <row r="16" spans="1:17">
      <c r="A16" s="29">
        <v>1031813370</v>
      </c>
      <c r="B16" s="30"/>
      <c r="C16" s="31" t="s">
        <v>40</v>
      </c>
      <c r="D16" s="31"/>
      <c r="E16" s="1">
        <v>1.4</v>
      </c>
      <c r="F16" s="1">
        <v>4.3</v>
      </c>
      <c r="G16" s="1">
        <f t="shared" si="0"/>
        <v>0.32850000000000001</v>
      </c>
      <c r="H16" s="1">
        <v>4</v>
      </c>
      <c r="I16" s="1">
        <v>3.8</v>
      </c>
      <c r="J16" s="5">
        <f t="shared" si="1"/>
        <v>1.56</v>
      </c>
      <c r="K16" s="1">
        <v>2.15</v>
      </c>
      <c r="L16" s="6">
        <f t="shared" si="2"/>
        <v>1.075</v>
      </c>
      <c r="M16" s="6"/>
      <c r="N16" s="6">
        <f t="shared" si="3"/>
        <v>0</v>
      </c>
      <c r="O16" s="6">
        <f>G16+J16+L16</f>
        <v>2.9634999999999998</v>
      </c>
      <c r="P16" s="6">
        <f>INT(O16*10)/10+IF(MOD(O16*10,1)&gt;=0.5,0.1,0)</f>
        <v>3</v>
      </c>
      <c r="Q16" s="1">
        <f>IF(O16&lt;3,3-O16,"No aplica")</f>
        <v>3.6500000000000199E-2</v>
      </c>
    </row>
    <row r="17" spans="1:17">
      <c r="A17" s="29">
        <v>1034295843</v>
      </c>
      <c r="B17" s="30"/>
      <c r="C17" s="31" t="s">
        <v>42</v>
      </c>
      <c r="D17" s="31"/>
      <c r="E17" s="1">
        <v>1.6</v>
      </c>
      <c r="F17" s="1">
        <v>4.3</v>
      </c>
      <c r="G17" s="1">
        <f t="shared" si="0"/>
        <v>0.33550000000000002</v>
      </c>
      <c r="H17" s="1">
        <v>4.8</v>
      </c>
      <c r="I17" s="1">
        <v>5</v>
      </c>
      <c r="J17" s="5">
        <f t="shared" si="1"/>
        <v>2.3200000000000003</v>
      </c>
      <c r="K17" s="1">
        <v>2.2999999999999998</v>
      </c>
      <c r="L17" s="6">
        <f t="shared" si="2"/>
        <v>1.1499999999999999</v>
      </c>
      <c r="M17" s="6">
        <v>9</v>
      </c>
      <c r="N17" s="6">
        <f t="shared" si="3"/>
        <v>0.9</v>
      </c>
      <c r="O17" s="6">
        <f>G17+J17+L17</f>
        <v>3.8055000000000003</v>
      </c>
      <c r="P17" s="6">
        <f>INT(O17*10)/10+IF(MOD(O17*10,1)&gt;=0.5,0.1,0)</f>
        <v>3.8</v>
      </c>
      <c r="Q17" s="1" t="str">
        <f>IF(O17&lt;3,3-O17,"No aplica")</f>
        <v>No aplica</v>
      </c>
    </row>
    <row r="18" spans="1:17">
      <c r="A18" s="29">
        <v>1095551423</v>
      </c>
      <c r="B18" s="30"/>
      <c r="C18" s="31" t="s">
        <v>44</v>
      </c>
      <c r="D18" s="31"/>
      <c r="E18" s="1">
        <v>0.3</v>
      </c>
      <c r="F18" s="1">
        <v>3.9</v>
      </c>
      <c r="G18" s="1">
        <f t="shared" si="0"/>
        <v>0.26400000000000001</v>
      </c>
      <c r="H18" s="1">
        <v>5</v>
      </c>
      <c r="I18" s="1">
        <v>3.8</v>
      </c>
      <c r="J18" s="5">
        <f t="shared" si="1"/>
        <v>1.7600000000000002</v>
      </c>
      <c r="K18" s="1">
        <v>3</v>
      </c>
      <c r="L18" s="6">
        <f t="shared" si="2"/>
        <v>1.5</v>
      </c>
      <c r="M18" s="6"/>
      <c r="N18" s="6">
        <f t="shared" si="3"/>
        <v>0</v>
      </c>
      <c r="O18" s="6">
        <f>G18+J18+L18</f>
        <v>3.524</v>
      </c>
      <c r="P18" s="6">
        <f>INT(O18*10)/10+IF(MOD(O18*10,1)&gt;=0.5,0.1,0)</f>
        <v>3.5</v>
      </c>
      <c r="Q18" s="1" t="str">
        <f>IF(O18&lt;3,3-O18,"No aplica")</f>
        <v>No aplica</v>
      </c>
    </row>
    <row r="19" spans="1:17">
      <c r="A19" s="29">
        <v>1087802193</v>
      </c>
      <c r="B19" s="30"/>
      <c r="C19" s="31" t="s">
        <v>46</v>
      </c>
      <c r="D19" s="31"/>
      <c r="E19" s="1">
        <v>0.5</v>
      </c>
      <c r="F19" s="1">
        <v>3.2</v>
      </c>
      <c r="G19" s="1">
        <f t="shared" si="0"/>
        <v>0.22550000000000001</v>
      </c>
      <c r="H19" s="1">
        <v>5</v>
      </c>
      <c r="I19" s="1">
        <v>4.7</v>
      </c>
      <c r="J19" s="5">
        <f t="shared" si="1"/>
        <v>2.3000000000000003</v>
      </c>
      <c r="K19" s="1">
        <v>2.5</v>
      </c>
      <c r="L19" s="6">
        <f t="shared" si="2"/>
        <v>1.25</v>
      </c>
      <c r="M19" s="6">
        <v>9</v>
      </c>
      <c r="N19" s="6">
        <f t="shared" si="3"/>
        <v>0.9</v>
      </c>
      <c r="O19" s="6">
        <f>G19+J19+L19</f>
        <v>3.7755000000000001</v>
      </c>
      <c r="P19" s="6">
        <f>INT(O19*10)/10+IF(MOD(O19*10,1)&gt;=0.5,0.1,0)</f>
        <v>3.8000000000000003</v>
      </c>
      <c r="Q19" s="1" t="str">
        <f>IF(O19&lt;3,3-O19,"No aplica")</f>
        <v>No aplica</v>
      </c>
    </row>
    <row r="20" spans="1:17">
      <c r="A20" s="29">
        <v>1072747164</v>
      </c>
      <c r="B20" s="30"/>
      <c r="C20" s="31" t="s">
        <v>48</v>
      </c>
      <c r="D20" s="31"/>
      <c r="E20" s="1">
        <v>0.5</v>
      </c>
      <c r="F20" s="1">
        <v>4.0999999999999996</v>
      </c>
      <c r="G20" s="1">
        <f t="shared" si="0"/>
        <v>0.28399999999999997</v>
      </c>
      <c r="H20" s="1">
        <v>5</v>
      </c>
      <c r="I20" s="1">
        <v>0</v>
      </c>
      <c r="J20" s="5">
        <f t="shared" si="1"/>
        <v>1.2800000000000002</v>
      </c>
      <c r="K20" s="1">
        <v>3.25</v>
      </c>
      <c r="L20" s="6">
        <f t="shared" si="2"/>
        <v>1.625</v>
      </c>
      <c r="M20" s="6">
        <v>7</v>
      </c>
      <c r="N20" s="6">
        <f t="shared" si="3"/>
        <v>0.7</v>
      </c>
      <c r="O20" s="6">
        <f>G20+J20+L20</f>
        <v>3.1890000000000001</v>
      </c>
      <c r="P20" s="6">
        <f>INT(O20*10)/10+IF(MOD(O20*10,1)&gt;=0.5,0.1,0)</f>
        <v>3.2</v>
      </c>
      <c r="Q20" s="1" t="str">
        <f>IF(O20&lt;3,3-O20,"No aplica")</f>
        <v>No aplica</v>
      </c>
    </row>
    <row r="21" spans="1:17">
      <c r="A21" s="29">
        <v>1075234817</v>
      </c>
      <c r="B21" s="30"/>
      <c r="C21" s="31" t="s">
        <v>50</v>
      </c>
      <c r="D21" s="31"/>
      <c r="E21" s="1">
        <v>0</v>
      </c>
      <c r="F21" s="1">
        <v>0</v>
      </c>
      <c r="G21" s="1">
        <f t="shared" si="0"/>
        <v>0</v>
      </c>
      <c r="H21" s="1">
        <v>4</v>
      </c>
      <c r="I21" s="1">
        <v>5</v>
      </c>
      <c r="J21" s="5">
        <f t="shared" si="1"/>
        <v>1.92</v>
      </c>
      <c r="K21" s="1">
        <v>1.8</v>
      </c>
      <c r="L21" s="6">
        <f t="shared" si="2"/>
        <v>0.9</v>
      </c>
      <c r="M21" s="6">
        <v>3</v>
      </c>
      <c r="N21" s="6">
        <f t="shared" si="3"/>
        <v>0.3</v>
      </c>
      <c r="O21" s="6">
        <f>G21+J21+L21</f>
        <v>2.82</v>
      </c>
      <c r="P21" s="6">
        <f>INT(O21*10)/10+IF(MOD(O21*10,1)&gt;=0.5,0.1,0)</f>
        <v>2.8</v>
      </c>
      <c r="Q21" s="1">
        <f>IF(O21&lt;3,3-O21,"No aplica")</f>
        <v>0.18000000000000016</v>
      </c>
    </row>
    <row r="22" spans="1:17">
      <c r="A22" s="29">
        <v>1016912717</v>
      </c>
      <c r="B22" s="30"/>
      <c r="C22" s="31" t="s">
        <v>51</v>
      </c>
      <c r="D22" s="31"/>
      <c r="E22" s="1">
        <v>0.5</v>
      </c>
      <c r="F22" s="1">
        <v>1.3</v>
      </c>
      <c r="G22" s="1">
        <f t="shared" si="0"/>
        <v>0.10200000000000001</v>
      </c>
      <c r="H22" s="1">
        <v>5</v>
      </c>
      <c r="I22" s="1">
        <v>4.5999999999999996</v>
      </c>
      <c r="J22" s="5">
        <f t="shared" si="1"/>
        <v>1.92</v>
      </c>
      <c r="K22" s="1">
        <v>3.75</v>
      </c>
      <c r="L22" s="6">
        <f t="shared" si="2"/>
        <v>1.875</v>
      </c>
      <c r="M22" s="6"/>
      <c r="N22" s="6">
        <f t="shared" si="3"/>
        <v>0</v>
      </c>
      <c r="O22" s="6">
        <f>G22+J22+L22</f>
        <v>3.8969999999999998</v>
      </c>
      <c r="P22" s="6">
        <f>INT(O22*10)/10+IF(MOD(O22*10,1)&gt;=0.5,0.1,0)</f>
        <v>3.9</v>
      </c>
      <c r="Q22" s="1" t="str">
        <f>IF(O22&lt;3,3-O22,"No aplica")</f>
        <v>No aplica</v>
      </c>
    </row>
  </sheetData>
  <mergeCells count="43"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4:B4"/>
    <mergeCell ref="C4:I4"/>
    <mergeCell ref="A6:D6"/>
    <mergeCell ref="H6:I6"/>
    <mergeCell ref="A7:B7"/>
    <mergeCell ref="C7:D7"/>
    <mergeCell ref="E6:F6"/>
    <mergeCell ref="A1:B1"/>
    <mergeCell ref="C1:I1"/>
    <mergeCell ref="A2:B2"/>
    <mergeCell ref="C2:I2"/>
    <mergeCell ref="A3:B3"/>
    <mergeCell ref="C3:I3"/>
  </mergeCells>
  <conditionalFormatting sqref="H8:I21">
    <cfRule type="expression" dxfId="11" priority="18">
      <formula>H8&lt;3</formula>
    </cfRule>
  </conditionalFormatting>
  <conditionalFormatting sqref="H8:I21">
    <cfRule type="expression" dxfId="10" priority="17">
      <formula>H8&gt;=3</formula>
    </cfRule>
  </conditionalFormatting>
  <conditionalFormatting sqref="K8:K22">
    <cfRule type="expression" dxfId="9" priority="16">
      <formula>K8&lt;3</formula>
    </cfRule>
  </conditionalFormatting>
  <conditionalFormatting sqref="K8:K22">
    <cfRule type="expression" dxfId="8" priority="15">
      <formula>K8&gt;=3</formula>
    </cfRule>
  </conditionalFormatting>
  <conditionalFormatting sqref="H22:I22">
    <cfRule type="expression" dxfId="7" priority="10">
      <formula>H22&lt;3</formula>
    </cfRule>
  </conditionalFormatting>
  <conditionalFormatting sqref="H22:I22">
    <cfRule type="expression" dxfId="6" priority="9">
      <formula>H22&gt;=3</formula>
    </cfRule>
  </conditionalFormatting>
  <conditionalFormatting sqref="E8:F22">
    <cfRule type="expression" dxfId="5" priority="6">
      <formula>E8&lt;3</formula>
    </cfRule>
  </conditionalFormatting>
  <conditionalFormatting sqref="E8:F22">
    <cfRule type="expression" dxfId="4" priority="5">
      <formula>E8&gt;=3</formula>
    </cfRule>
  </conditionalFormatting>
  <conditionalFormatting sqref="O8:O22">
    <cfRule type="expression" dxfId="3" priority="4">
      <formula>O8&lt;3</formula>
    </cfRule>
  </conditionalFormatting>
  <conditionalFormatting sqref="O8:O22">
    <cfRule type="expression" dxfId="2" priority="3">
      <formula>O8&gt;=3</formula>
    </cfRule>
  </conditionalFormatting>
  <conditionalFormatting sqref="M8:M22">
    <cfRule type="cellIs" dxfId="1" priority="1" operator="greaterThan">
      <formula>0</formula>
    </cfRule>
    <cfRule type="containsBlanks" dxfId="0" priority="2">
      <formula>LEN(TRIM(M8))=0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Mauricio Valoyes Porras</cp:lastModifiedBy>
  <cp:revision/>
  <dcterms:created xsi:type="dcterms:W3CDTF">2025-06-18T04:01:52Z</dcterms:created>
  <dcterms:modified xsi:type="dcterms:W3CDTF">2026-06-01T03:29:50Z</dcterms:modified>
  <cp:category/>
  <cp:contentStatus/>
</cp:coreProperties>
</file>